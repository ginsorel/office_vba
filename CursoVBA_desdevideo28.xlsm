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sarrollo\vbaCurso\"/>
    </mc:Choice>
  </mc:AlternateContent>
  <xr:revisionPtr revIDLastSave="0" documentId="13_ncr:1_{0A59FA42-C594-4DFC-AB34-BD3FCE27A665}" xr6:coauthVersionLast="46" xr6:coauthVersionMax="46" xr10:uidLastSave="{00000000-0000-0000-0000-000000000000}"/>
  <bookViews>
    <workbookView xWindow="810" yWindow="-120" windowWidth="19800" windowHeight="11760" activeTab="1" xr2:uid="{2B11631D-FDA8-49AD-A52F-AED7540F3807}"/>
  </bookViews>
  <sheets>
    <sheet name="Hoja1" sheetId="1" r:id="rId1"/>
    <sheet name="Hoja2" sheetId="2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48" i="2" l="1"/>
  <c r="H148" i="2"/>
  <c r="J147" i="2"/>
  <c r="J146" i="2"/>
  <c r="H146" i="2"/>
  <c r="J145" i="2"/>
  <c r="H145" i="2"/>
  <c r="J144" i="2"/>
  <c r="H144" i="2"/>
  <c r="J143" i="2"/>
  <c r="H143" i="2"/>
  <c r="J142" i="2"/>
  <c r="H142" i="2"/>
  <c r="J141" i="2"/>
  <c r="H141" i="2"/>
  <c r="J140" i="2"/>
  <c r="H140" i="2"/>
  <c r="J139" i="2"/>
  <c r="H139" i="2"/>
  <c r="J138" i="2"/>
  <c r="H138" i="2"/>
  <c r="J137" i="2"/>
  <c r="H137" i="2"/>
  <c r="J136" i="2"/>
  <c r="H136" i="2"/>
  <c r="J135" i="2"/>
  <c r="H135" i="2"/>
  <c r="J134" i="2"/>
  <c r="H134" i="2"/>
  <c r="J133" i="2"/>
  <c r="H133" i="2"/>
  <c r="J132" i="2"/>
  <c r="H132" i="2"/>
  <c r="J131" i="2"/>
  <c r="H131" i="2"/>
  <c r="J130" i="2"/>
  <c r="H130" i="2"/>
  <c r="J129" i="2"/>
  <c r="H129" i="2"/>
  <c r="J128" i="2"/>
  <c r="H128" i="2"/>
  <c r="J127" i="2"/>
  <c r="H127" i="2"/>
  <c r="J126" i="2"/>
  <c r="H126" i="2"/>
  <c r="J125" i="2"/>
  <c r="H125" i="2"/>
  <c r="J124" i="2"/>
  <c r="H124" i="2"/>
  <c r="J123" i="2"/>
  <c r="H123" i="2"/>
  <c r="J122" i="2"/>
  <c r="H122" i="2"/>
  <c r="J121" i="2"/>
  <c r="H121" i="2"/>
  <c r="J120" i="2"/>
  <c r="H120" i="2"/>
  <c r="J119" i="2"/>
  <c r="H119" i="2"/>
  <c r="J118" i="2"/>
  <c r="H118" i="2"/>
  <c r="J117" i="2"/>
  <c r="H117" i="2"/>
  <c r="J116" i="2"/>
  <c r="H116" i="2"/>
  <c r="J115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H77" i="2"/>
  <c r="J76" i="2"/>
  <c r="H76" i="2"/>
  <c r="J75" i="2"/>
  <c r="H75" i="2"/>
  <c r="J74" i="2"/>
  <c r="H74" i="2"/>
  <c r="J73" i="2"/>
  <c r="H73" i="2"/>
  <c r="J72" i="2"/>
  <c r="H72" i="2"/>
  <c r="J71" i="2"/>
  <c r="H71" i="2"/>
  <c r="J70" i="2"/>
  <c r="H70" i="2"/>
  <c r="J69" i="2"/>
  <c r="H69" i="2"/>
  <c r="J68" i="2"/>
  <c r="H68" i="2"/>
  <c r="J67" i="2"/>
  <c r="H67" i="2"/>
  <c r="J66" i="2"/>
  <c r="H66" i="2"/>
  <c r="J65" i="2"/>
  <c r="H65" i="2"/>
  <c r="J64" i="2"/>
  <c r="H64" i="2"/>
  <c r="J63" i="2"/>
  <c r="H63" i="2"/>
  <c r="J62" i="2"/>
  <c r="H62" i="2"/>
  <c r="J61" i="2"/>
  <c r="H61" i="2"/>
  <c r="J60" i="2"/>
  <c r="H60" i="2"/>
  <c r="J59" i="2"/>
  <c r="H59" i="2"/>
  <c r="J58" i="2"/>
  <c r="H58" i="2"/>
  <c r="J57" i="2"/>
  <c r="H57" i="2"/>
  <c r="J56" i="2"/>
  <c r="H56" i="2"/>
  <c r="J55" i="2"/>
  <c r="H55" i="2"/>
  <c r="J54" i="2"/>
  <c r="H54" i="2"/>
  <c r="J53" i="2"/>
  <c r="H53" i="2"/>
  <c r="J52" i="2"/>
  <c r="H52" i="2"/>
  <c r="J51" i="2"/>
  <c r="H51" i="2"/>
  <c r="J50" i="2"/>
  <c r="H50" i="2"/>
  <c r="J49" i="2"/>
  <c r="H49" i="2"/>
  <c r="J48" i="2"/>
  <c r="H48" i="2"/>
  <c r="J47" i="2"/>
  <c r="H47" i="2"/>
  <c r="J46" i="2"/>
  <c r="H46" i="2"/>
  <c r="J45" i="2"/>
  <c r="H45" i="2"/>
  <c r="J44" i="2"/>
  <c r="H44" i="2"/>
  <c r="J43" i="2"/>
  <c r="H43" i="2"/>
  <c r="J42" i="2"/>
  <c r="H42" i="2"/>
  <c r="J41" i="2"/>
  <c r="H41" i="2"/>
  <c r="J40" i="2"/>
  <c r="H40" i="2"/>
  <c r="J39" i="2"/>
  <c r="H39" i="2"/>
  <c r="J38" i="2"/>
  <c r="H38" i="2"/>
  <c r="J37" i="2"/>
  <c r="H37" i="2"/>
  <c r="J36" i="2"/>
  <c r="H36" i="2"/>
  <c r="J35" i="2"/>
  <c r="H35" i="2"/>
  <c r="J34" i="2"/>
  <c r="H34" i="2"/>
  <c r="J33" i="2"/>
  <c r="H33" i="2"/>
  <c r="J32" i="2"/>
  <c r="H32" i="2"/>
  <c r="J31" i="2"/>
  <c r="H31" i="2"/>
  <c r="J30" i="2"/>
  <c r="H30" i="2"/>
  <c r="J29" i="2"/>
  <c r="H29" i="2"/>
  <c r="J28" i="2"/>
  <c r="H28" i="2"/>
  <c r="J27" i="2"/>
  <c r="H27" i="2"/>
  <c r="J26" i="2"/>
  <c r="H26" i="2"/>
  <c r="J25" i="2"/>
  <c r="H25" i="2"/>
  <c r="J24" i="2"/>
  <c r="H24" i="2"/>
  <c r="J23" i="2"/>
  <c r="H23" i="2"/>
  <c r="J22" i="2"/>
  <c r="H22" i="2"/>
  <c r="J21" i="2"/>
  <c r="H21" i="2"/>
  <c r="J20" i="2"/>
  <c r="H20" i="2"/>
  <c r="J19" i="2"/>
  <c r="H19" i="2"/>
  <c r="J18" i="2"/>
  <c r="H18" i="2"/>
  <c r="J17" i="2"/>
  <c r="H17" i="2"/>
  <c r="J16" i="2"/>
  <c r="H16" i="2"/>
  <c r="J15" i="2"/>
  <c r="H15" i="2"/>
  <c r="J14" i="2"/>
  <c r="H14" i="2"/>
  <c r="J13" i="2"/>
  <c r="H13" i="2"/>
  <c r="J12" i="2"/>
  <c r="H12" i="2"/>
  <c r="J11" i="2"/>
  <c r="H11" i="2"/>
  <c r="J10" i="2"/>
  <c r="H10" i="2"/>
  <c r="J9" i="2"/>
  <c r="H9" i="2"/>
  <c r="J8" i="2"/>
  <c r="H8" i="2"/>
  <c r="J7" i="2"/>
  <c r="H7" i="2"/>
  <c r="J6" i="2"/>
  <c r="H6" i="2"/>
  <c r="J5" i="2"/>
  <c r="H5" i="2"/>
  <c r="J4" i="2"/>
  <c r="H4" i="2"/>
  <c r="J3" i="2"/>
  <c r="H3" i="2"/>
  <c r="J2" i="2"/>
  <c r="H2" i="2"/>
  <c r="F5" i="1" a="1"/>
  <c r="F3" i="1" a="1"/>
  <c r="F4" i="1" a="1"/>
  <c r="F2" i="1" a="1"/>
  <c r="F2" i="1" l="1"/>
  <c r="F4" i="1"/>
  <c r="F3" i="1"/>
  <c r="F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<sst xmlns="http://schemas.openxmlformats.org/spreadsheetml/2006/main" count="935" uniqueCount="224">
  <si>
    <t>NOMBRE</t>
  </si>
  <si>
    <t>APELLIDO</t>
  </si>
  <si>
    <t>SALARIO BASE</t>
  </si>
  <si>
    <t>TIPO VENDEDOR</t>
  </si>
  <si>
    <t>VENTAS</t>
  </si>
  <si>
    <t>COMISION</t>
  </si>
  <si>
    <t>TOTAL</t>
  </si>
  <si>
    <t>Jose</t>
  </si>
  <si>
    <t>Antonio</t>
  </si>
  <si>
    <t>Ana</t>
  </si>
  <si>
    <t>Maria</t>
  </si>
  <si>
    <t>Lopez</t>
  </si>
  <si>
    <t>Martin</t>
  </si>
  <si>
    <t>Gomez</t>
  </si>
  <si>
    <t>Gonzales</t>
  </si>
  <si>
    <t>CTB-159</t>
  </si>
  <si>
    <t>Administración de factura favorita</t>
  </si>
  <si>
    <t>BP-MOVIL</t>
  </si>
  <si>
    <t>DESARROLLO</t>
  </si>
  <si>
    <t>OK</t>
  </si>
  <si>
    <t>Katty Esmeraldas</t>
  </si>
  <si>
    <t>CTB-163</t>
  </si>
  <si>
    <t>Mejora en procesamiento de plantillas en mensajería</t>
  </si>
  <si>
    <t>BilleteraPichincha</t>
  </si>
  <si>
    <t>ANÁLISIS</t>
  </si>
  <si>
    <t>Byron Jara</t>
  </si>
  <si>
    <t>CTB-181</t>
  </si>
  <si>
    <t>Soporte revisión datos calidad de datos</t>
  </si>
  <si>
    <t>CRM</t>
  </si>
  <si>
    <t>CTB-174</t>
  </si>
  <si>
    <t>Habilitar nueva región Apigee para contingencia</t>
  </si>
  <si>
    <t>CENTRO-DIGITAL</t>
  </si>
  <si>
    <t>PRODUCCIÓN</t>
  </si>
  <si>
    <t>EN PROCESO</t>
  </si>
  <si>
    <t>Danny Munoz</t>
  </si>
  <si>
    <t>CTB-54</t>
  </si>
  <si>
    <t>Actualización de datos económicos del cliente</t>
  </si>
  <si>
    <t>CTB-157</t>
  </si>
  <si>
    <t>Independencia cupo transaccional</t>
  </si>
  <si>
    <t>CTB-130</t>
  </si>
  <si>
    <t>Solicitud de cobro con BIMO</t>
  </si>
  <si>
    <t>Ginson Joselito Orellana Arichavala</t>
  </si>
  <si>
    <t>CTB-160</t>
  </si>
  <si>
    <t>Habilitar consulta al Registro Civil</t>
  </si>
  <si>
    <t>franciscojavier.jarringarcia</t>
  </si>
  <si>
    <t>CTB-171</t>
  </si>
  <si>
    <t>Modificar flujo de firmas autorizadas y titularidad de cuentas</t>
  </si>
  <si>
    <t>CTB-137</t>
  </si>
  <si>
    <t>Actualización de Datos Demográficos del cliente</t>
  </si>
  <si>
    <t>CTB-55</t>
  </si>
  <si>
    <t>Actualización de datos complementarios del cliente</t>
  </si>
  <si>
    <t>CTB-70</t>
  </si>
  <si>
    <t>Incluir centro de costos de Marketing Digital para OTP</t>
  </si>
  <si>
    <t>Marketing_Digital</t>
  </si>
  <si>
    <t>TEST</t>
  </si>
  <si>
    <t>jimmy.penafiel</t>
  </si>
  <si>
    <t>CTB-147</t>
  </si>
  <si>
    <t>Mejoras en actualización contacto transaccional para cancelación en agencia</t>
  </si>
  <si>
    <t>CTB-173</t>
  </si>
  <si>
    <t>Cambio de identificador de SMS para precalificados denegados</t>
  </si>
  <si>
    <t>CreditoEnLinea</t>
  </si>
  <si>
    <t>CTB-52</t>
  </si>
  <si>
    <t>Referencias del cliente</t>
  </si>
  <si>
    <t>david.jacome</t>
  </si>
  <si>
    <t>CTB-177</t>
  </si>
  <si>
    <t>Notificar creación de credenciales SMS</t>
  </si>
  <si>
    <t>CTB-53</t>
  </si>
  <si>
    <t>Creación y modificación de referencias del cliente</t>
  </si>
  <si>
    <t>CTB-143</t>
  </si>
  <si>
    <t>Realizar POC con Ocelot y socializar al equipo</t>
  </si>
  <si>
    <t>PortalRRHH</t>
  </si>
  <si>
    <t>Wilson Boada</t>
  </si>
  <si>
    <t>CTB-77</t>
  </si>
  <si>
    <t>Notificar por correo bloqueo de usuario por ingreso de contraseña incorrecta</t>
  </si>
  <si>
    <t>CTB-148</t>
  </si>
  <si>
    <t>Activar log transaccional creación credenciales</t>
  </si>
  <si>
    <t>CTB-150</t>
  </si>
  <si>
    <t>Activar notificación en creación de credenciales</t>
  </si>
  <si>
    <t>CTB-133</t>
  </si>
  <si>
    <t>Habilitar OTP con centro de costos propio</t>
  </si>
  <si>
    <t>CTB-188</t>
  </si>
  <si>
    <t xml:space="preserve">Soporte data creación de usuarios y productos </t>
  </si>
  <si>
    <t>SOPORTE</t>
  </si>
  <si>
    <t>CTB-167</t>
  </si>
  <si>
    <t>Habilitar despliegue continuo para BUS IBM con Azure</t>
  </si>
  <si>
    <t>CuentaSimple</t>
  </si>
  <si>
    <t>CTB-170</t>
  </si>
  <si>
    <t>Activación de aplicación Crédito en Linea en CMDB</t>
  </si>
  <si>
    <t>CTB-175</t>
  </si>
  <si>
    <t>Soporte Data y pruebas clientes PES</t>
  </si>
  <si>
    <t>CTB-189</t>
  </si>
  <si>
    <t>Soporte data Cuenta Experta</t>
  </si>
  <si>
    <t>CTB-180</t>
  </si>
  <si>
    <t>Generación de data pago de servicios</t>
  </si>
  <si>
    <t>BANCAWEB</t>
  </si>
  <si>
    <t>CTB-154</t>
  </si>
  <si>
    <t>Bloquear usuario con BIMO</t>
  </si>
  <si>
    <t>CTB-83</t>
  </si>
  <si>
    <t>Actualización datos transaccionales en Agencia</t>
  </si>
  <si>
    <t>CTB-131</t>
  </si>
  <si>
    <t>Configuración de nueva regla de garante en Base 2.0</t>
  </si>
  <si>
    <t>CTB-56</t>
  </si>
  <si>
    <t>Actualización de datos de bienes del cliente</t>
  </si>
  <si>
    <t>CTB-179</t>
  </si>
  <si>
    <t>Almacenar log de referencia bancarias en Portal</t>
  </si>
  <si>
    <t>CTB-156</t>
  </si>
  <si>
    <t>Almacenar referencia bancarias en Core Bancs</t>
  </si>
  <si>
    <t>David.jacome</t>
  </si>
  <si>
    <t>CTB-14</t>
  </si>
  <si>
    <t>Plan de monitoreo de CRM</t>
  </si>
  <si>
    <t>CTB-92</t>
  </si>
  <si>
    <t>Exponer nuevo flujo de Transferecias Interbancarias</t>
  </si>
  <si>
    <t>CTB-64</t>
  </si>
  <si>
    <t>Notificar por correo el bloqueo de pin por ingreso de pin incorrecto</t>
  </si>
  <si>
    <t>CTB-166</t>
  </si>
  <si>
    <t>Activar Health check para monitoreo</t>
  </si>
  <si>
    <t>CTB-108</t>
  </si>
  <si>
    <t>Envio y Validación de OTP con su centros de costos para crédito preciso</t>
  </si>
  <si>
    <t>CTB-151</t>
  </si>
  <si>
    <t>Incluir los productos de ahorro futuro</t>
  </si>
  <si>
    <t>MarketingDigital</t>
  </si>
  <si>
    <t>Actualización de Datos Demográficos del cliente.</t>
  </si>
  <si>
    <t>CTB-158</t>
  </si>
  <si>
    <t>Configuración en Notificador Central para envio de Correos en Flujo Precalificados</t>
  </si>
  <si>
    <t>Exponer nuevo flujo de Transferecias Interbancarias DPE</t>
  </si>
  <si>
    <t>Habilitar nueva región Apigee para contingencia DPE</t>
  </si>
  <si>
    <t>Actualización de Datos Económicos del Cliente</t>
  </si>
  <si>
    <t>CTB-20</t>
  </si>
  <si>
    <t>Formalizacion de Entrega de Servicios a Mantenimiento</t>
  </si>
  <si>
    <t>Pablo Delgado</t>
  </si>
  <si>
    <t xml:space="preserve">Mejoras en actualización contacto transaccional para cancelación en agencia </t>
  </si>
  <si>
    <t xml:space="preserve">Activar log transaccional creación credenciales </t>
  </si>
  <si>
    <t>Cambio de identificador de SMS (Teamsourcing) para precalificados denegados</t>
  </si>
  <si>
    <t>CTB-149</t>
  </si>
  <si>
    <t>Validación log transaccional montos y cupos, obtener clave temporal</t>
  </si>
  <si>
    <t>CTB-22</t>
  </si>
  <si>
    <t>Envío de OTP con su propio centro de costos</t>
  </si>
  <si>
    <t>CreditScore</t>
  </si>
  <si>
    <t xml:space="preserve">Habilitar consulta al registro civil </t>
  </si>
  <si>
    <t xml:space="preserve">Notificar creación de credenciales App SMS </t>
  </si>
  <si>
    <t>CTB-191</t>
  </si>
  <si>
    <t>Reporte servicios que consume Banca móvil</t>
  </si>
  <si>
    <t>CTB-193</t>
  </si>
  <si>
    <t xml:space="preserve">Obtener las entidades del Sistema financiero Ecuatoriano. </t>
  </si>
  <si>
    <t>CTB-185</t>
  </si>
  <si>
    <t>Consultar detalle extendido de movimiento</t>
  </si>
  <si>
    <t>CTB-195</t>
  </si>
  <si>
    <t>Actualizar los productos de ahorro futuro</t>
  </si>
  <si>
    <t>CTB-196</t>
  </si>
  <si>
    <t xml:space="preserve">Anclar servicio WSClientes0067 a usuario de producción de marketing digital. </t>
  </si>
  <si>
    <t>CTB-197</t>
  </si>
  <si>
    <t>Soporte Data pruebas Firmas Autorizadas</t>
  </si>
  <si>
    <t>CTB-198</t>
  </si>
  <si>
    <t>Soporte Pruebas File Digital</t>
  </si>
  <si>
    <t>CTB-200</t>
  </si>
  <si>
    <t>Soporte generación de data Campañas Credito en Linea</t>
  </si>
  <si>
    <t>Permitir actualizar el nombre del usuario de Banca Web.</t>
  </si>
  <si>
    <t>Conexión HTTPS Avance Efectivo.</t>
  </si>
  <si>
    <t>CTB-208</t>
  </si>
  <si>
    <t>Revisión reglas de negocio area Riesgo BP</t>
  </si>
  <si>
    <t>Crédito Empresarial</t>
  </si>
  <si>
    <t>CTB-205</t>
  </si>
  <si>
    <t>Corregir inconsistencia entre llave y Vector para envío de notificaciones de Residencia Fiscal</t>
  </si>
  <si>
    <t>CTB-199</t>
  </si>
  <si>
    <t>Actualizacion de certificados para Acceso a Anaconda enOpenShift</t>
  </si>
  <si>
    <t>Anclar servicio Consultar Cuentas de Clientes con el usuario de producción de marketing digital Datapower externo</t>
  </si>
  <si>
    <t>Marketing</t>
  </si>
  <si>
    <t>Franciscojavier.jarringarcia</t>
  </si>
  <si>
    <t>CTB-194</t>
  </si>
  <si>
    <t>Crear servicio para consultar datos extendidos de un movimiento sin el journal</t>
  </si>
  <si>
    <t>Billetera Píchincha</t>
  </si>
  <si>
    <t>Obtener las entidades del Sistema financiero Ecuatoriano. Datapower Externo</t>
  </si>
  <si>
    <t>CTB-192</t>
  </si>
  <si>
    <t>POC Escritura en LOG transaccional para Servicio de desembolso bus de soporte</t>
  </si>
  <si>
    <t>Consultar detalle extendido de movimiento Datapower externo</t>
  </si>
  <si>
    <t>Notificar creación de credenciales App SMS MSG Aplicacion</t>
  </si>
  <si>
    <t xml:space="preserve">Validación log transaccional montos y cupos, obtener clave temporal [JP(8)] </t>
  </si>
  <si>
    <t>Actualización de Datos Demográficos exponer en DPE</t>
  </si>
  <si>
    <t>Habilitar OTP con Centro de Costos propio</t>
  </si>
  <si>
    <t>Recursivos</t>
  </si>
  <si>
    <t xml:space="preserve">Solicitud de cobro con BIMO OpenShift  </t>
  </si>
  <si>
    <t>Exponer nuevo flujo de Transferecias Interbancarias Open Shift en Datapower Externo</t>
  </si>
  <si>
    <t>NO INICIADO</t>
  </si>
  <si>
    <t xml:space="preserve">Creación y modificación de referencias del Cliente. </t>
  </si>
  <si>
    <t>CTB-51</t>
  </si>
  <si>
    <t xml:space="preserve">Consulta características de documentos desde Gestión Documental </t>
  </si>
  <si>
    <t xml:space="preserve">Envío de OTP con su propio centro de costos </t>
  </si>
  <si>
    <t>CrediScore</t>
  </si>
  <si>
    <t>Plan de monitoreo de CRM  C00031409</t>
  </si>
  <si>
    <t>Activar la validación del softoken de manera incremental.</t>
  </si>
  <si>
    <t>Avances en efectivo y efectivo express desde la banca web.</t>
  </si>
  <si>
    <t>CTB-219</t>
  </si>
  <si>
    <t xml:space="preserve">CR actualización certificados servicio WSTecnico0130 </t>
  </si>
  <si>
    <t>Analitica</t>
  </si>
  <si>
    <t>CTB-218</t>
  </si>
  <si>
    <t>Revisión volumen petición para componente bienes cliente</t>
  </si>
  <si>
    <t>CTB-217</t>
  </si>
  <si>
    <t>Revisión reglas de negocio área Riesgo BP</t>
  </si>
  <si>
    <t>CreditoEmpresarial</t>
  </si>
  <si>
    <t>CTB-213</t>
  </si>
  <si>
    <t>CR actualización certificados servicio QCA PES</t>
  </si>
  <si>
    <t>CTB-210</t>
  </si>
  <si>
    <t>Ajuste regla ODM 299 a 300 dólares</t>
  </si>
  <si>
    <t>BaNCAWEB</t>
  </si>
  <si>
    <t>CTB-209</t>
  </si>
  <si>
    <t xml:space="preserve">Gestión de control de cambios para actualización de TLS en integración con Interdin (Avances) </t>
  </si>
  <si>
    <t>CTB-206</t>
  </si>
  <si>
    <t>Despliegue de nueva versión del servicio de gastos personales a producción</t>
  </si>
  <si>
    <t>Portal RRHH</t>
  </si>
  <si>
    <t>CTB-201</t>
  </si>
  <si>
    <t xml:space="preserve">Habilitar Banred UP CNT para Banca móvil </t>
  </si>
  <si>
    <t>Actualizacion de certificados para Acceso a Anaconda</t>
  </si>
  <si>
    <t>Anclar servicio WSClientes0067 a usuario de producción de marketing digital.</t>
  </si>
  <si>
    <t>Obtener las entidades del Sistema financiero Ecuatoriano</t>
  </si>
  <si>
    <t>Francisco Jarrin</t>
  </si>
  <si>
    <t xml:space="preserve">Envio y Validación de OTP con su centros de costos para crédito preciso 947 BP </t>
  </si>
  <si>
    <t xml:space="preserve">Exponer nuevo flujo de Transferecias Interbancarias Open Shift en Datapower Externo </t>
  </si>
  <si>
    <t>Creación y modificación de referencias del Cliente.</t>
  </si>
  <si>
    <t>Formalizacion de Entrega de Servicios a Mantenimiento 8PD CréditoEnLínea</t>
  </si>
  <si>
    <t>CTB-212</t>
  </si>
  <si>
    <t>Subida de archivos de File Digital con peso mayor a 1Mb</t>
  </si>
  <si>
    <t>Revisión detalle sobre volumne de gran tamaño de objetos en Gestión documental</t>
  </si>
  <si>
    <t>CTB-211</t>
  </si>
  <si>
    <t>Alias de servicios para inventario de servicios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</si>
</sst>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\-yyyy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rgb="FF1265BE"/>
      <name val="Calibri"/>
      <family val="2"/>
    </font>
    <font>
      <sz val="10"/>
      <color theme="0"/>
      <name val="Verdana"/>
      <family val="2"/>
    </font>
    <font>
      <sz val="10"/>
      <color theme="0"/>
      <name val="Calibri"/>
      <family val="2"/>
    </font>
    <font>
      <sz val="9"/>
      <color theme="0"/>
      <name val="Calibri"/>
      <family val="2"/>
    </font>
    <font>
      <b/>
      <sz val="12"/>
      <color theme="0"/>
      <name val="Arial"/>
      <family val="2"/>
    </font>
    <font>
      <b/>
      <sz val="9"/>
      <color theme="0"/>
      <name val="Calibri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u/>
      <sz val="10"/>
      <color theme="10"/>
      <name val="Arial"/>
      <family val="2"/>
    </font>
    <font>
      <b/>
      <sz val="10"/>
      <color rgb="FF000000"/>
      <name val="Arial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rgb="FFFFFFFF"/>
      <name val="Verdana"/>
      <family val="2"/>
    </font>
    <font>
      <sz val="10"/>
      <color theme="9" tint="-0.499984740745262"/>
      <name val="Arial"/>
      <family val="2"/>
    </font>
    <font>
      <sz val="9"/>
      <color theme="0"/>
      <name val="Calibri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4E84C4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800DA"/>
        <bgColor indexed="64"/>
      </patternFill>
    </fill>
    <fill>
      <patternFill patternType="solid">
        <fgColor rgb="FF0097D6"/>
        <bgColor indexed="64"/>
      </patternFill>
    </fill>
    <fill>
      <patternFill patternType="solid">
        <fgColor rgb="FF63C29D"/>
        <bgColor indexed="64"/>
      </patternFill>
    </fill>
    <fill>
      <patternFill patternType="solid">
        <fgColor rgb="FFBC2B7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800DA"/>
        <bgColor rgb="FF000000"/>
      </patternFill>
    </fill>
    <fill>
      <patternFill patternType="solid">
        <fgColor rgb="FF0097D6"/>
        <bgColor rgb="FF000000"/>
      </patternFill>
    </fill>
    <fill>
      <patternFill patternType="solid">
        <fgColor rgb="FF4E84C4"/>
        <bgColor rgb="FF000000"/>
      </patternFill>
    </fill>
    <fill>
      <patternFill patternType="solid">
        <fgColor rgb="FF63C29D"/>
        <bgColor rgb="FF000000"/>
      </patternFill>
    </fill>
  </fills>
  <borders count="7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rgb="FFFFFFFF"/>
      </bottom>
      <diagonal/>
    </border>
  </borders>
  <cellStyleXfs count="8">
    <xf numFmtId="0" fontId="0" fillId="0" borderId="0"/>
    <xf numFmtId="0" fontId="3" fillId="3" borderId="1" applyBorder="0">
      <alignment horizontal="left" vertical="center" wrapText="1" indent="1"/>
    </xf>
    <xf numFmtId="164" fontId="4" fillId="4" borderId="3">
      <alignment horizontal="left" vertical="center" wrapText="1" indent="2"/>
    </xf>
    <xf numFmtId="0" fontId="3" fillId="5" borderId="1">
      <alignment horizontal="left" vertical="center" wrapText="1" indent="1"/>
    </xf>
    <xf numFmtId="0" fontId="3" fillId="6" borderId="1" applyBorder="0">
      <alignment horizontal="left" vertical="center" wrapText="1" indent="1"/>
    </xf>
    <xf numFmtId="0" fontId="3" fillId="7" borderId="1" applyBorder="0">
      <alignment horizontal="left" vertical="center" wrapText="1" indent="1"/>
    </xf>
    <xf numFmtId="0" fontId="8" fillId="0" borderId="0" applyNumberFormat="0" applyFill="0" applyBorder="0" applyAlignment="0" applyProtection="0"/>
    <xf numFmtId="0" fontId="3" fillId="8" borderId="1">
      <alignment horizontal="left" vertical="center" wrapText="1" indent="1"/>
    </xf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0" xfId="0" applyFill="1"/>
    <xf numFmtId="0" fontId="3" fillId="3" borderId="2" xfId="1" applyBorder="1">
      <alignment horizontal="left" vertical="center" wrapText="1" indent="1"/>
    </xf>
    <xf numFmtId="164" fontId="5" fillId="2" borderId="4" xfId="2" applyFont="1" applyFill="1" applyBorder="1">
      <alignment horizontal="left" vertical="center" wrapText="1" indent="2"/>
    </xf>
    <xf numFmtId="0" fontId="6" fillId="0" borderId="5" xfId="0" applyFont="1" applyBorder="1" applyAlignment="1">
      <alignment vertical="center" wrapText="1"/>
    </xf>
    <xf numFmtId="0" fontId="3" fillId="5" borderId="1" xfId="3">
      <alignment horizontal="left" vertical="center" wrapText="1" indent="1"/>
    </xf>
    <xf numFmtId="164" fontId="7" fillId="2" borderId="4" xfId="2" applyFont="1" applyFill="1" applyBorder="1" applyAlignment="1">
      <alignment horizontal="left" vertical="center" wrapText="1"/>
    </xf>
    <xf numFmtId="0" fontId="3" fillId="6" borderId="1" xfId="4" applyBorder="1">
      <alignment horizontal="left" vertical="center" wrapText="1" indent="1"/>
    </xf>
    <xf numFmtId="0" fontId="3" fillId="3" borderId="1" xfId="1" applyBorder="1">
      <alignment horizontal="left" vertical="center" wrapText="1" indent="1"/>
    </xf>
    <xf numFmtId="0" fontId="3" fillId="7" borderId="1" xfId="5" applyBorder="1">
      <alignment horizontal="left" vertical="center" wrapText="1" indent="1"/>
    </xf>
    <xf numFmtId="0" fontId="8" fillId="0" borderId="0" xfId="6" applyAlignment="1">
      <alignment wrapText="1"/>
    </xf>
    <xf numFmtId="0" fontId="3" fillId="8" borderId="1" xfId="7">
      <alignment horizontal="left" vertical="center" wrapText="1" indent="1"/>
    </xf>
    <xf numFmtId="0" fontId="9" fillId="0" borderId="0" xfId="0" applyFont="1"/>
    <xf numFmtId="0" fontId="3" fillId="7" borderId="2" xfId="5" applyBorder="1">
      <alignment horizontal="left" vertical="center" wrapText="1" indent="1"/>
    </xf>
    <xf numFmtId="0" fontId="10" fillId="0" borderId="0" xfId="6" applyFont="1" applyFill="1" applyBorder="1" applyAlignment="1">
      <alignment wrapText="1"/>
    </xf>
    <xf numFmtId="0" fontId="11" fillId="0" borderId="0" xfId="0" applyFont="1"/>
    <xf numFmtId="0" fontId="12" fillId="0" borderId="0" xfId="0" applyFont="1" applyAlignment="1">
      <alignment wrapText="1"/>
    </xf>
    <xf numFmtId="164" fontId="7" fillId="9" borderId="4" xfId="2" applyFont="1" applyFill="1" applyBorder="1">
      <alignment horizontal="left" vertical="center" wrapText="1" indent="2"/>
    </xf>
    <xf numFmtId="0" fontId="8" fillId="0" borderId="0" xfId="6" applyFill="1" applyBorder="1" applyAlignment="1">
      <alignment wrapText="1"/>
    </xf>
    <xf numFmtId="0" fontId="13" fillId="0" borderId="0" xfId="0" applyFont="1" applyAlignment="1">
      <alignment wrapText="1"/>
    </xf>
    <xf numFmtId="164" fontId="5" fillId="4" borderId="4" xfId="2" applyFont="1" applyBorder="1">
      <alignment horizontal="left" vertical="center" wrapText="1" indent="2"/>
    </xf>
    <xf numFmtId="0" fontId="0" fillId="2" borderId="0" xfId="0" applyFill="1" applyAlignment="1">
      <alignment wrapText="1"/>
    </xf>
    <xf numFmtId="0" fontId="9" fillId="2" borderId="0" xfId="0" applyFont="1" applyFill="1"/>
    <xf numFmtId="0" fontId="14" fillId="10" borderId="6" xfId="0" applyFont="1" applyFill="1" applyBorder="1" applyAlignment="1">
      <alignment wrapText="1"/>
    </xf>
    <xf numFmtId="0" fontId="15" fillId="4" borderId="5" xfId="0" applyFont="1" applyFill="1" applyBorder="1" applyAlignment="1">
      <alignment vertical="center"/>
    </xf>
    <xf numFmtId="0" fontId="14" fillId="11" borderId="6" xfId="0" applyFont="1" applyFill="1" applyBorder="1" applyAlignment="1">
      <alignment wrapText="1"/>
    </xf>
    <xf numFmtId="0" fontId="14" fillId="12" borderId="6" xfId="0" applyFont="1" applyFill="1" applyBorder="1" applyAlignment="1">
      <alignment wrapText="1"/>
    </xf>
    <xf numFmtId="0" fontId="14" fillId="13" borderId="6" xfId="0" applyFont="1" applyFill="1" applyBorder="1" applyAlignment="1">
      <alignment wrapText="1"/>
    </xf>
    <xf numFmtId="0" fontId="8" fillId="2" borderId="0" xfId="6" applyFill="1" applyBorder="1" applyAlignment="1">
      <alignment wrapText="1"/>
    </xf>
    <xf numFmtId="0" fontId="13" fillId="2" borderId="0" xfId="0" applyFont="1" applyFill="1" applyAlignment="1">
      <alignment wrapText="1"/>
    </xf>
    <xf numFmtId="164" fontId="16" fillId="4" borderId="4" xfId="2" applyFont="1" applyBorder="1">
      <alignment horizontal="left" vertical="center" wrapText="1" indent="2"/>
    </xf>
    <xf numFmtId="0" fontId="8" fillId="2" borderId="0" xfId="6" applyFill="1" applyAlignment="1">
      <alignment wrapText="1"/>
    </xf>
  </cellXfs>
  <cellStyles count="8">
    <cellStyle name="Celda_Analisis" xfId="3" xr:uid="{77FE8445-CA8C-47B1-85C3-15DF3247A066}"/>
    <cellStyle name="Celda_Data" xfId="7" xr:uid="{234413E8-CA61-4BBB-9A13-3CEC8C555919}"/>
    <cellStyle name="CeldaDesarrollo_" xfId="1" xr:uid="{FE6FD0B5-57B4-4C34-9CC2-45E52941F799}"/>
    <cellStyle name="CeldaProducción" xfId="4" xr:uid="{4615F009-EAD3-45AA-984B-7A7A64B33E38}"/>
    <cellStyle name="CeldaTest" xfId="5" xr:uid="{A6302ACF-4CC4-45F2-9ACF-DD78A0BACAA3}"/>
    <cellStyle name="Hyperlink" xfId="6" xr:uid="{8766D898-0AA7-4CEB-9EE8-F546FF590397}"/>
    <cellStyle name="Normal" xfId="0" builtinId="0"/>
    <cellStyle name="TemplateP" xfId="2" xr:uid="{57F9768D-A8C3-4BAE-B0E9-5269381C15C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arrollo/office_vba/Business%20Capabilities%20-%20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"/>
      <sheetName val="Cycle Time"/>
      <sheetName val="Registro"/>
      <sheetName val="Resumen Historias"/>
      <sheetName val="Totales"/>
      <sheetName val="Cumplimiento"/>
      <sheetName val="Throughput"/>
      <sheetName val="Colores"/>
      <sheetName val="Graficosresumen"/>
      <sheetName val="Configuracion"/>
      <sheetName val="Copia de Cycle Time"/>
      <sheetName val="ScatterPlot"/>
      <sheetName val="Histograma"/>
      <sheetName val="CFD"/>
      <sheetName val="_56F9DC9755BA473782653E2940F9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pichincha.atlassian.net/browse/CTB-206?atlOrigin=eyJpIjoiMjBhNWIzMmFjMjdiNGE1YzhhZTE4YmM0ZjA0MDM4ZWYiLCJwIjoiZXhjZWwtamlyYSJ9" TargetMode="External"/><Relationship Id="rId21" Type="http://schemas.openxmlformats.org/officeDocument/2006/relationships/hyperlink" Target="https://pichincha.atlassian.net/browse/CTB-150?atlOrigin=eyJpIjoiMjBhNWIzMmFjMjdiNGE1YzhhZTE4YmM0ZjA0MDM4ZWYiLCJwIjoiZXhjZWwtamlyYSJ9" TargetMode="External"/><Relationship Id="rId42" Type="http://schemas.openxmlformats.org/officeDocument/2006/relationships/hyperlink" Target="https://pichincha.atlassian.net/browse/CTB-158?atlOrigin=eyJpIjoiMjBhNWIzMmFjMjdiNGE1YzhhZTE4YmM0ZjA0MDM4ZWYiLCJwIjoiZXhjZWwtamlyYSJ9" TargetMode="External"/><Relationship Id="rId63" Type="http://schemas.openxmlformats.org/officeDocument/2006/relationships/hyperlink" Target="https://pichincha.atlassian.net/browse/CTB-179?atlOrigin=eyJpIjoiMjBhNWIzMmFjMjdiNGE1YzhhZTE4YmM0ZjA0MDM4ZWYiLCJwIjoiZXhjZWwtamlyYSJ9" TargetMode="External"/><Relationship Id="rId84" Type="http://schemas.openxmlformats.org/officeDocument/2006/relationships/hyperlink" Target="https://pichincha.atlassian.net/browse/CTB-193?atlOrigin=eyJpIjoiMjBhNWIzMmFjMjdiNGE1YzhhZTE4YmM0ZjA0MDM4ZWYiLCJwIjoiZXhjZWwtamlyYSJ9" TargetMode="External"/><Relationship Id="rId138" Type="http://schemas.openxmlformats.org/officeDocument/2006/relationships/hyperlink" Target="https://pichincha.atlassian.net/browse/CTB-54?atlOrigin=eyJpIjoiMjBhNWIzMmFjMjdiNGE1YzhhZTE4YmM0ZjA0MDM4ZWYiLCJwIjoiZXhjZWwtamlyYSJ9" TargetMode="External"/><Relationship Id="rId107" Type="http://schemas.openxmlformats.org/officeDocument/2006/relationships/hyperlink" Target="https://pichincha.atlassian.net/browse/CTB-22?atlOrigin=eyJpIjoiMjBhNWIzMmFjMjdiNGE1YzhhZTE4YmM0ZjA0MDM4ZWYiLCJwIjoiZXhjZWwtamlyYSJ9" TargetMode="External"/><Relationship Id="rId11" Type="http://schemas.openxmlformats.org/officeDocument/2006/relationships/hyperlink" Target="https://pichincha.atlassian.net/browse/CTB-14?atlOrigin=eyJpIjoiMjBhNWIzMmFjMjdiNGE1YzhhZTE4YmM0ZjA0MDM4ZWYiLCJwIjoiZXhjZWwtamlyYSJ9" TargetMode="External"/><Relationship Id="rId32" Type="http://schemas.openxmlformats.org/officeDocument/2006/relationships/hyperlink" Target="https://pichincha.atlassian.net/browse/CTB-56?atlOrigin=eyJpIjoiMjBhNWIzMmFjMjdiNGE1YzhhZTE4YmM0ZjA0MDM4ZWYiLCJwIjoiZXhjZWwtamlyYSJ9" TargetMode="External"/><Relationship Id="rId37" Type="http://schemas.openxmlformats.org/officeDocument/2006/relationships/hyperlink" Target="https://pichincha.atlassian.net/browse/CTB-188?atlOrigin=eyJpIjoiMjBhNWIzMmFjMjdiNGE1YzhhZTE4YmM0ZjA0MDM4ZWYiLCJwIjoiZXhjZWwtamlyYSJ9" TargetMode="External"/><Relationship Id="rId53" Type="http://schemas.openxmlformats.org/officeDocument/2006/relationships/hyperlink" Target="https://pichincha.atlassian.net/browse/CTB-55?atlOrigin=eyJpIjoiMjBhNWIzMmFjMjdiNGE1YzhhZTE4YmM0ZjA0MDM4ZWYiLCJwIjoiZXhjZWwtamlyYSJ9" TargetMode="External"/><Relationship Id="rId58" Type="http://schemas.openxmlformats.org/officeDocument/2006/relationships/hyperlink" Target="https://pichincha.atlassian.net/browse/CTB-167?atlOrigin=eyJpIjoiMjBhNWIzMmFjMjdiNGE1YzhhZTE4YmM0ZjA0MDM4ZWYiLCJwIjoiZXhjZWwtamlyYSJ9" TargetMode="External"/><Relationship Id="rId74" Type="http://schemas.openxmlformats.org/officeDocument/2006/relationships/hyperlink" Target="https://pichincha.atlassian.net/browse/CTB-52?atlOrigin=eyJpIjoiMjBhNWIzMmFjMjdiNGE1YzhhZTE4YmM0ZjA0MDM4ZWYiLCJwIjoiZXhjZWwtamlyYSJ9" TargetMode="External"/><Relationship Id="rId79" Type="http://schemas.openxmlformats.org/officeDocument/2006/relationships/hyperlink" Target="https://pichincha.atlassian.net/browse/CTB-198?atlOrigin=eyJpIjoiMjBhNWIzMmFjMjdiNGE1YzhhZTE4YmM0ZjA0MDM4ZWYiLCJwIjoiZXhjZWwtamlyYSJ9" TargetMode="External"/><Relationship Id="rId102" Type="http://schemas.openxmlformats.org/officeDocument/2006/relationships/hyperlink" Target="https://pichincha.atlassian.net/browse/CTB-56?atlOrigin=eyJpIjoiMjBhNWIzMmFjMjdiNGE1YzhhZTE4YmM0ZjA0MDM4ZWYiLCJwIjoiZXhjZWwtamlyYSJ9" TargetMode="External"/><Relationship Id="rId123" Type="http://schemas.openxmlformats.org/officeDocument/2006/relationships/hyperlink" Target="https://pichincha.atlassian.net/browse/CTB-194?atlOrigin=eyJpIjoiMjBhNWIzMmFjMjdiNGE1YzhhZTE4YmM0ZjA0MDM4ZWYiLCJwIjoiZXhjZWwtamlyYSJ9" TargetMode="External"/><Relationship Id="rId128" Type="http://schemas.openxmlformats.org/officeDocument/2006/relationships/hyperlink" Target="https://pichincha.atlassian.net/browse/CTB-167?atlOrigin=eyJpIjoiMjBhNWIzMmFjMjdiNGE1YzhhZTE4YmM0ZjA0MDM4ZWYiLCJwIjoiZXhjZWwtamlyYSJ9" TargetMode="External"/><Relationship Id="rId5" Type="http://schemas.openxmlformats.org/officeDocument/2006/relationships/hyperlink" Target="https://pichincha.atlassian.net/browse/CTB-52?atlOrigin=eyJpIjoiMjBhNWIzMmFjMjdiNGE1YzhhZTE4YmM0ZjA0MDM4ZWYiLCJwIjoiZXhjZWwtamlyYSJ9" TargetMode="External"/><Relationship Id="rId90" Type="http://schemas.openxmlformats.org/officeDocument/2006/relationships/hyperlink" Target="https://pichincha.atlassian.net/browse/CTB-167?atlOrigin=eyJpIjoiMjBhNWIzMmFjMjdiNGE1YzhhZTE4YmM0ZjA0MDM4ZWYiLCJwIjoiZXhjZWwtamlyYSJ9" TargetMode="External"/><Relationship Id="rId95" Type="http://schemas.openxmlformats.org/officeDocument/2006/relationships/hyperlink" Target="https://pichincha.atlassian.net/browse/CTB-148?atlOrigin=eyJpIjoiMjBhNWIzMmFjMjdiNGE1YzhhZTE4YmM0ZjA0MDM4ZWYiLCJwIjoiZXhjZWwtamlyYSJ9" TargetMode="External"/><Relationship Id="rId22" Type="http://schemas.openxmlformats.org/officeDocument/2006/relationships/hyperlink" Target="https://pichincha.atlassian.net/browse/CTB-133?atlOrigin=eyJpIjoiMjBhNWIzMmFjMjdiNGE1YzhhZTE4YmM0ZjA0MDM4ZWYiLCJwIjoiZXhjZWwtamlyYSJ9" TargetMode="External"/><Relationship Id="rId27" Type="http://schemas.openxmlformats.org/officeDocument/2006/relationships/hyperlink" Target="https://pichincha.atlassian.net/browse/CTB-173?atlOrigin=eyJpIjoiMjBhNWIzMmFjMjdiNGE1YzhhZTE4YmM0ZjA0MDM4ZWYiLCJwIjoiZXhjZWwtamlyYSJ9" TargetMode="External"/><Relationship Id="rId43" Type="http://schemas.openxmlformats.org/officeDocument/2006/relationships/hyperlink" Target="https://pichincha.atlassian.net/browse/CTB-92?atlOrigin=eyJpIjoiMjBhNWIzMmFjMjdiNGE1YzhhZTE4YmM0ZjA0MDM4ZWYiLCJwIjoiZXhjZWwtamlyYSJ9" TargetMode="External"/><Relationship Id="rId48" Type="http://schemas.openxmlformats.org/officeDocument/2006/relationships/hyperlink" Target="https://pichincha.atlassian.net/browse/CTB-64?atlOrigin=eyJpIjoiMjBhNWIzMmFjMjdiNGE1YzhhZTE4YmM0ZjA0MDM4ZWYiLCJwIjoiZXhjZWwtamlyYSJ9" TargetMode="External"/><Relationship Id="rId64" Type="http://schemas.openxmlformats.org/officeDocument/2006/relationships/hyperlink" Target="https://pichincha.atlassian.net/browse/CTB-160?atlOrigin=eyJpIjoiMjBhNWIzMmFjMjdiNGE1YzhhZTE4YmM0ZjA0MDM4ZWYiLCJwIjoiZXhjZWwtamlyYSJ9" TargetMode="External"/><Relationship Id="rId69" Type="http://schemas.openxmlformats.org/officeDocument/2006/relationships/hyperlink" Target="https://pichincha.atlassian.net/browse/CTB-195?atlOrigin=eyJpIjoiMjBhNWIzMmFjMjdiNGE1YzhhZTE4YmM0ZjA0MDM4ZWYiLCJwIjoiZXhjZWwtamlyYSJ9" TargetMode="External"/><Relationship Id="rId113" Type="http://schemas.openxmlformats.org/officeDocument/2006/relationships/hyperlink" Target="https://pichincha.atlassian.net/browse/CTB-217?atlOrigin=eyJpIjoiMjBhNWIzMmFjMjdiNGE1YzhhZTE4YmM0ZjA0MDM4ZWYiLCJwIjoiZXhjZWwtamlyYSJ9" TargetMode="External"/><Relationship Id="rId118" Type="http://schemas.openxmlformats.org/officeDocument/2006/relationships/hyperlink" Target="https://pichincha.atlassian.net/browse/CTB-205?atlOrigin=eyJpIjoiMjBhNWIzMmFjMjdiNGE1YzhhZTE4YmM0ZjA0MDM4ZWYiLCJwIjoiZXhjZWwtamlyYSJ9" TargetMode="External"/><Relationship Id="rId134" Type="http://schemas.openxmlformats.org/officeDocument/2006/relationships/hyperlink" Target="https://pichincha.atlassian.net/browse/CTB-108?atlOrigin=eyJpIjoiMjBhNWIzMmFjMjdiNGE1YzhhZTE4YmM0ZjA0MDM4ZWYiLCJwIjoiZXhjZWwtamlyYSJ9" TargetMode="External"/><Relationship Id="rId139" Type="http://schemas.openxmlformats.org/officeDocument/2006/relationships/hyperlink" Target="https://pichincha.atlassian.net/browse/CTB-53?atlOrigin=eyJpIjoiMjBhNWIzMmFjMjdiNGE1YzhhZTE4YmM0ZjA0MDM4ZWYiLCJwIjoiZXhjZWwtamlyYSJ9" TargetMode="External"/><Relationship Id="rId80" Type="http://schemas.openxmlformats.org/officeDocument/2006/relationships/hyperlink" Target="https://pichincha.atlassian.net/browse/CTB-197?atlOrigin=eyJpIjoiMjBhNWIzMmFjMjdiNGE1YzhhZTE4YmM0ZjA0MDM4ZWYiLCJwIjoiZXhjZWwtamlyYSJ9" TargetMode="External"/><Relationship Id="rId85" Type="http://schemas.openxmlformats.org/officeDocument/2006/relationships/hyperlink" Target="https://pichincha.atlassian.net/browse/CTB-192?atlOrigin=eyJpIjoiMjBhNWIzMmFjMjdiNGE1YzhhZTE4YmM0ZjA0MDM4ZWYiLCJwIjoiZXhjZWwtamlyYSJ9" TargetMode="External"/><Relationship Id="rId12" Type="http://schemas.openxmlformats.org/officeDocument/2006/relationships/hyperlink" Target="https://pichincha.atlassian.net/browse/CTB-70?atlOrigin=eyJpIjoiMjBhNWIzMmFjMjdiNGE1YzhhZTE4YmM0ZjA0MDM4ZWYiLCJwIjoiZXhjZWwtamlyYSJ9" TargetMode="External"/><Relationship Id="rId17" Type="http://schemas.openxmlformats.org/officeDocument/2006/relationships/hyperlink" Target="https://pichincha.atlassian.net/browse/CTB-147?atlOrigin=eyJpIjoiMjBhNWIzMmFjMjdiNGE1YzhhZTE4YmM0ZjA0MDM4ZWYiLCJwIjoiZXhjZWwtamlyYSJ9" TargetMode="External"/><Relationship Id="rId33" Type="http://schemas.openxmlformats.org/officeDocument/2006/relationships/hyperlink" Target="https://pichincha.atlassian.net/browse/CTB-156?atlOrigin=eyJpIjoiMjBhNWIzMmFjMjdiNGE1YzhhZTE4YmM0ZjA0MDM4ZWYiLCJwIjoiZXhjZWwtamlyYSJ9" TargetMode="External"/><Relationship Id="rId38" Type="http://schemas.openxmlformats.org/officeDocument/2006/relationships/hyperlink" Target="https://pichincha.atlassian.net/browse/CTB-189?atlOrigin=eyJpIjoiMjBhNWIzMmFjMjdiNGE1YzhhZTE4YmM0ZjA0MDM4ZWYiLCJwIjoiZXhjZWwtamlyYSJ9" TargetMode="External"/><Relationship Id="rId59" Type="http://schemas.openxmlformats.org/officeDocument/2006/relationships/hyperlink" Target="https://pichincha.atlassian.net/browse/CTB-173?atlOrigin=eyJpIjoiMjBhNWIzMmFjMjdiNGE1YzhhZTE4YmM0ZjA0MDM4ZWYiLCJwIjoiZXhjZWwtamlyYSJ9" TargetMode="External"/><Relationship Id="rId103" Type="http://schemas.openxmlformats.org/officeDocument/2006/relationships/hyperlink" Target="https://pichincha.atlassian.net/browse/CTB-55?atlOrigin=eyJpIjoiMjBhNWIzMmFjMjdiNGE1YzhhZTE4YmM0ZjA0MDM4ZWYiLCJwIjoiZXhjZWwtamlyYSJ9" TargetMode="External"/><Relationship Id="rId108" Type="http://schemas.openxmlformats.org/officeDocument/2006/relationships/hyperlink" Target="https://pichincha.atlassian.net/browse/CTB-20?atlOrigin=eyJpIjoiMjBhNWIzMmFjMjdiNGE1YzhhZTE4YmM0ZjA0MDM4ZWYiLCJwIjoiZXhjZWwtamlyYSJ9" TargetMode="External"/><Relationship Id="rId124" Type="http://schemas.openxmlformats.org/officeDocument/2006/relationships/hyperlink" Target="https://pichincha.atlassian.net/browse/CTB-193?atlOrigin=eyJpIjoiMjBhNWIzMmFjMjdiNGE1YzhhZTE4YmM0ZjA0MDM4ZWYiLCJwIjoiZXhjZWwtamlyYSJ9" TargetMode="External"/><Relationship Id="rId129" Type="http://schemas.openxmlformats.org/officeDocument/2006/relationships/hyperlink" Target="https://pichincha.atlassian.net/browse/CTB-158?atlOrigin=eyJpIjoiMjBhNWIzMmFjMjdiNGE1YzhhZTE4YmM0ZjA0MDM4ZWYiLCJwIjoiZXhjZWwtamlyYSJ9" TargetMode="External"/><Relationship Id="rId54" Type="http://schemas.openxmlformats.org/officeDocument/2006/relationships/hyperlink" Target="https://pichincha.atlassian.net/browse/CTB-77?atlOrigin=eyJpIjoiMjBhNWIzMmFjMjdiNGE1YzhhZTE4YmM0ZjA0MDM4ZWYiLCJwIjoiZXhjZWwtamlyYSJ9" TargetMode="External"/><Relationship Id="rId70" Type="http://schemas.openxmlformats.org/officeDocument/2006/relationships/hyperlink" Target="https://pichincha.atlassian.net/browse/CTB-196?atlOrigin=eyJpIjoiMjBhNWIzMmFjMjdiNGE1YzhhZTE4YmM0ZjA0MDM4ZWYiLCJwIjoiZXhjZWwtamlyYSJ9" TargetMode="External"/><Relationship Id="rId75" Type="http://schemas.openxmlformats.org/officeDocument/2006/relationships/hyperlink" Target="https://pichincha.atlassian.net/browse/CTB-208?atlOrigin=eyJpIjoiMjBhNWIzMmFjMjdiNGE1YzhhZTE4YmM0ZjA0MDM4ZWYiLCJwIjoiZXhjZWwtamlyYSJ9" TargetMode="External"/><Relationship Id="rId91" Type="http://schemas.openxmlformats.org/officeDocument/2006/relationships/hyperlink" Target="https://pichincha.atlassian.net/browse/CTB-158?atlOrigin=eyJpIjoiMjBhNWIzMmFjMjdiNGE1YzhhZTE4YmM0ZjA0MDM4ZWYiLCJwIjoiZXhjZWwtamlyYSJ9" TargetMode="External"/><Relationship Id="rId96" Type="http://schemas.openxmlformats.org/officeDocument/2006/relationships/hyperlink" Target="https://pichincha.atlassian.net/browse/CTB-147?atlOrigin=eyJpIjoiMjBhNWIzMmFjMjdiNGE1YzhhZTE4YmM0ZjA0MDM4ZWYiLCJwIjoiZXhjZWwtamlyYSJ9" TargetMode="External"/><Relationship Id="rId140" Type="http://schemas.openxmlformats.org/officeDocument/2006/relationships/hyperlink" Target="https://pichincha.atlassian.net/browse/CTB-20?atlOrigin=eyJpIjoiMjBhNWIzMmFjMjdiNGE1YzhhZTE4YmM0ZjA0MDM4ZWYiLCJwIjoiZXhjZWwtamlyYSJ9" TargetMode="External"/><Relationship Id="rId1" Type="http://schemas.openxmlformats.org/officeDocument/2006/relationships/hyperlink" Target="https://pichincha.atlassian.net/browse/CTB-92?atlOrigin=eyJpIjoiMjBhNWIzMmFjMjdiNGE1YzhhZTE4YmM0ZjA0MDM4ZWYiLCJwIjoiZXhjZWwtamlyYSJ9" TargetMode="External"/><Relationship Id="rId6" Type="http://schemas.openxmlformats.org/officeDocument/2006/relationships/hyperlink" Target="https://pichincha.atlassian.net/browse/CTB-130?atlOrigin=eyJpIjoiMjBhNWIzMmFjMjdiNGE1YzhhZTE4YmM0ZjA0MDM4ZWYiLCJwIjoiZXhjZWwtamlyYSJ9" TargetMode="External"/><Relationship Id="rId23" Type="http://schemas.openxmlformats.org/officeDocument/2006/relationships/hyperlink" Target="https://pichincha.atlassian.net/browse/CTB-166?atlOrigin=eyJpIjoiMjBhNWIzMmFjMjdiNGE1YzhhZTE4YmM0ZjA0MDM4ZWYiLCJwIjoiZXhjZWwtamlyYSJ9" TargetMode="External"/><Relationship Id="rId28" Type="http://schemas.openxmlformats.org/officeDocument/2006/relationships/hyperlink" Target="https://pichincha.atlassian.net/browse/CTB-180?atlOrigin=eyJpIjoiMjBhNWIzMmFjMjdiNGE1YzhhZTE4YmM0ZjA0MDM4ZWYiLCJwIjoiZXhjZWwtamlyYSJ9" TargetMode="External"/><Relationship Id="rId49" Type="http://schemas.openxmlformats.org/officeDocument/2006/relationships/hyperlink" Target="https://pichincha.atlassian.net/browse/CTB-54?atlOrigin=eyJpIjoiMjBhNWIzMmFjMjdiNGE1YzhhZTE4YmM0ZjA0MDM4ZWYiLCJwIjoiZXhjZWwtamlyYSJ9" TargetMode="External"/><Relationship Id="rId114" Type="http://schemas.openxmlformats.org/officeDocument/2006/relationships/hyperlink" Target="https://pichincha.atlassian.net/browse/CTB-213?atlOrigin=eyJpIjoiMjBhNWIzMmFjMjdiNGE1YzhhZTE4YmM0ZjA0MDM4ZWYiLCJwIjoiZXhjZWwtamlyYSJ9" TargetMode="External"/><Relationship Id="rId119" Type="http://schemas.openxmlformats.org/officeDocument/2006/relationships/hyperlink" Target="https://pichincha.atlassian.net/browse/CTB-201?atlOrigin=eyJpIjoiMjBhNWIzMmFjMjdiNGE1YzhhZTE4YmM0ZjA0MDM4ZWYiLCJwIjoiZXhjZWwtamlyYSJ9" TargetMode="External"/><Relationship Id="rId44" Type="http://schemas.openxmlformats.org/officeDocument/2006/relationships/hyperlink" Target="https://pichincha.atlassian.net/browse/CTB-181?atlOrigin=eyJpIjoiMjBhNWIzMmFjMjdiNGE1YzhhZTE4YmM0ZjA0MDM4ZWYiLCJwIjoiZXhjZWwtamlyYSJ9" TargetMode="External"/><Relationship Id="rId60" Type="http://schemas.openxmlformats.org/officeDocument/2006/relationships/hyperlink" Target="https://pichincha.atlassian.net/browse/CTB-149?atlOrigin=eyJpIjoiMjBhNWIzMmFjMjdiNGE1YzhhZTE4YmM0ZjA0MDM4ZWYiLCJwIjoiZXhjZWwtamlyYSJ9" TargetMode="External"/><Relationship Id="rId65" Type="http://schemas.openxmlformats.org/officeDocument/2006/relationships/hyperlink" Target="https://pichincha.atlassian.net/browse/CTB-177?atlOrigin=eyJpIjoiMjBhNWIzMmFjMjdiNGE1YzhhZTE4YmM0ZjA0MDM4ZWYiLCJwIjoiZXhjZWwtamlyYSJ9" TargetMode="External"/><Relationship Id="rId81" Type="http://schemas.openxmlformats.org/officeDocument/2006/relationships/hyperlink" Target="https://pichincha.atlassian.net/browse/CTB-196?atlOrigin=eyJpIjoiMjBhNWIzMmFjMjdiNGE1YzhhZTE4YmM0ZjA0MDM4ZWYiLCJwIjoiZXhjZWwtamlyYSJ9" TargetMode="External"/><Relationship Id="rId86" Type="http://schemas.openxmlformats.org/officeDocument/2006/relationships/hyperlink" Target="https://pichincha.atlassian.net/browse/CTB-185?atlOrigin=eyJpIjoiMjBhNWIzMmFjMjdiNGE1YzhhZTE4YmM0ZjA0MDM4ZWYiLCJwIjoiZXhjZWwtamlyYSJ9" TargetMode="External"/><Relationship Id="rId130" Type="http://schemas.openxmlformats.org/officeDocument/2006/relationships/hyperlink" Target="https://pichincha.atlassian.net/browse/CTB-151?atlOrigin=eyJpIjoiMjBhNWIzMmFjMjdiNGE1YzhhZTE4YmM0ZjA0MDM4ZWYiLCJwIjoiZXhjZWwtamlyYSJ9" TargetMode="External"/><Relationship Id="rId135" Type="http://schemas.openxmlformats.org/officeDocument/2006/relationships/hyperlink" Target="https://pichincha.atlassian.net/browse/CTB-92?atlOrigin=eyJpIjoiMjBhNWIzMmFjMjdiNGE1YzhhZTE4YmM0ZjA0MDM4ZWYiLCJwIjoiZXhjZWwtamlyYSJ9" TargetMode="External"/><Relationship Id="rId13" Type="http://schemas.openxmlformats.org/officeDocument/2006/relationships/hyperlink" Target="https://pichincha.atlassian.net/browse/CTB-83?atlOrigin=eyJpIjoiMjBhNWIzMmFjMjdiNGE1YzhhZTE4YmM0ZjA0MDM4ZWYiLCJwIjoiZXhjZWwtamlyYSJ9" TargetMode="External"/><Relationship Id="rId18" Type="http://schemas.openxmlformats.org/officeDocument/2006/relationships/hyperlink" Target="https://pichincha.atlassian.net/browse/CTB-143?atlOrigin=eyJpIjoiMjBhNWIzMmFjMjdiNGE1YzhhZTE4YmM0ZjA0MDM4ZWYiLCJwIjoiZXhjZWwtamlyYSJ9" TargetMode="External"/><Relationship Id="rId39" Type="http://schemas.openxmlformats.org/officeDocument/2006/relationships/hyperlink" Target="https://pichincha.atlassian.net/browse/CTB-177" TargetMode="External"/><Relationship Id="rId109" Type="http://schemas.openxmlformats.org/officeDocument/2006/relationships/hyperlink" Target="https://pichincha.atlassian.net/browse/CTB-14?atlOrigin=eyJpIjoiMjBhNWIzMmFjMjdiNGE1YzhhZTE4YmM0ZjA0MDM4ZWYiLCJwIjoiZXhjZWwtamlyYSJ9" TargetMode="External"/><Relationship Id="rId34" Type="http://schemas.openxmlformats.org/officeDocument/2006/relationships/hyperlink" Target="https://pichincha.atlassian.net/browse/CTB-179?atlOrigin=eyJpIjoiMjBhNWIzMmFjMjdiNGE1YzhhZTE4YmM0ZjA0MDM4ZWYiLCJwIjoiZXhjZWwtamlyYSJ9" TargetMode="External"/><Relationship Id="rId50" Type="http://schemas.openxmlformats.org/officeDocument/2006/relationships/hyperlink" Target="https://pichincha.atlassian.net/browse/CTB-14?atlOrigin=eyJpIjoiMjBhNWIzMmFjMjdiNGE1YzhhZTE4YmM0ZjA0MDM4ZWYiLCJwIjoiZXhjZWwtamlyYSJ9" TargetMode="External"/><Relationship Id="rId55" Type="http://schemas.openxmlformats.org/officeDocument/2006/relationships/hyperlink" Target="https://pichincha.atlassian.net/browse/CTB-147?atlOrigin=eyJpIjoiMjBhNWIzMmFjMjdiNGE1YzhhZTE4YmM0ZjA0MDM4ZWYiLCJwIjoiZXhjZWwtamlyYSJ9" TargetMode="External"/><Relationship Id="rId76" Type="http://schemas.openxmlformats.org/officeDocument/2006/relationships/hyperlink" Target="https://pichincha.atlassian.net/browse/CTB-205?atlOrigin=eyJpIjoiMjBhNWIzMmFjMjdiNGE1YzhhZTE4YmM0ZjA0MDM4ZWYiLCJwIjoiZXhjZWwtamlyYSJ9" TargetMode="External"/><Relationship Id="rId97" Type="http://schemas.openxmlformats.org/officeDocument/2006/relationships/hyperlink" Target="https://pichincha.atlassian.net/browse/CTB-137?atlOrigin=eyJpIjoiMjBhNWIzMmFjMjdiNGE1YzhhZTE4YmM0ZjA0MDM4ZWYiLCJwIjoiZXhjZWwtamlyYSJ9" TargetMode="External"/><Relationship Id="rId104" Type="http://schemas.openxmlformats.org/officeDocument/2006/relationships/hyperlink" Target="https://pichincha.atlassian.net/browse/CTB-54?atlOrigin=eyJpIjoiMjBhNWIzMmFjMjdiNGE1YzhhZTE4YmM0ZjA0MDM4ZWYiLCJwIjoiZXhjZWwtamlyYSJ9" TargetMode="External"/><Relationship Id="rId120" Type="http://schemas.openxmlformats.org/officeDocument/2006/relationships/hyperlink" Target="https://pichincha.atlassian.net/browse/CTB-199?atlOrigin=eyJpIjoiMjBhNWIzMmFjMjdiNGE1YzhhZTE4YmM0ZjA0MDM4ZWYiLCJwIjoiZXhjZWwtamlyYSJ9" TargetMode="External"/><Relationship Id="rId125" Type="http://schemas.openxmlformats.org/officeDocument/2006/relationships/hyperlink" Target="https://pichincha.atlassian.net/browse/CTB-185?atlOrigin=eyJpIjoiMjBhNWIzMmFjMjdiNGE1YzhhZTE4YmM0ZjA0MDM4ZWYiLCJwIjoiZXhjZWwtamlyYSJ9" TargetMode="External"/><Relationship Id="rId141" Type="http://schemas.openxmlformats.org/officeDocument/2006/relationships/hyperlink" Target="https://pichincha.atlassian.net/browse/CTB-14?atlOrigin=eyJpIjoiMjBhNWIzMmFjMjdiNGE1YzhhZTE4YmM0ZjA0MDM4ZWYiLCJwIjoiZXhjZWwtamlyYSJ9" TargetMode="External"/><Relationship Id="rId7" Type="http://schemas.openxmlformats.org/officeDocument/2006/relationships/hyperlink" Target="https://pichincha.atlassian.net/browse/CTB-154?atlOrigin=eyJpIjoiMjBhNWIzMmFjMjdiNGE1YzhhZTE4YmM0ZjA0MDM4ZWYiLCJwIjoiZXhjZWwtamlyYSJ9" TargetMode="External"/><Relationship Id="rId71" Type="http://schemas.openxmlformats.org/officeDocument/2006/relationships/hyperlink" Target="https://pichincha.atlassian.net/browse/CTB-197?atlOrigin=eyJpIjoiMjBhNWIzMmFjMjdiNGE1YzhhZTE4YmM0ZjA0MDM4ZWYiLCJwIjoiZXhjZWwtamlyYSJ9" TargetMode="External"/><Relationship Id="rId92" Type="http://schemas.openxmlformats.org/officeDocument/2006/relationships/hyperlink" Target="https://pichincha.atlassian.net/browse/CTB-154?atlOrigin=eyJpIjoiMjBhNWIzMmFjMjdiNGE1YzhhZTE4YmM0ZjA0MDM4ZWYiLCJwIjoiZXhjZWwtamlyYSJ9" TargetMode="External"/><Relationship Id="rId2" Type="http://schemas.openxmlformats.org/officeDocument/2006/relationships/hyperlink" Target="https://pichincha.atlassian.net/browse/CTB-163?atlOrigin=eyJpIjoiMjBhNWIzMmFjMjdiNGE1YzhhZTE4YmM0ZjA0MDM4ZWYiLCJwIjoiZXhjZWwtamlyYSJ9" TargetMode="External"/><Relationship Id="rId29" Type="http://schemas.openxmlformats.org/officeDocument/2006/relationships/hyperlink" Target="https://pichincha.atlassian.net/browse/CTB-157?atlOrigin=eyJpIjoiMjBhNWIzMmFjMjdiNGE1YzhhZTE4YmM0ZjA0MDM4ZWYiLCJwIjoiZXhjZWwtamlyYSJ9" TargetMode="External"/><Relationship Id="rId24" Type="http://schemas.openxmlformats.org/officeDocument/2006/relationships/hyperlink" Target="https://pichincha.atlassian.net/browse/CTB-167?atlOrigin=eyJpIjoiMjBhNWIzMmFjMjdiNGE1YzhhZTE4YmM0ZjA0MDM4ZWYiLCJwIjoiZXhjZWwtamlyYSJ9" TargetMode="External"/><Relationship Id="rId40" Type="http://schemas.openxmlformats.org/officeDocument/2006/relationships/hyperlink" Target="https://pichincha.atlassian.net/browse/CTB-151?atlOrigin=eyJpIjoiMjBhNWIzMmFjMjdiNGE1YzhhZTE4YmM0ZjA0MDM4ZWYiLCJwIjoiZXhjZWwtamlyYSJ9" TargetMode="External"/><Relationship Id="rId45" Type="http://schemas.openxmlformats.org/officeDocument/2006/relationships/hyperlink" Target="https://pichincha.atlassian.net/browse/CTB-174?atlOrigin=eyJpIjoiMjBhNWIzMmFjMjdiNGE1YzhhZTE4YmM0ZjA0MDM4ZWYiLCJwIjoiZXhjZWwtamlyYSJ9" TargetMode="External"/><Relationship Id="rId66" Type="http://schemas.openxmlformats.org/officeDocument/2006/relationships/hyperlink" Target="https://pichincha.atlassian.net/browse/CTB-191?atlOrigin=eyJpIjoiMjBhNWIzMmFjMjdiNGE1YzhhZTE4YmM0ZjA0MDM4ZWYiLCJwIjoiZXhjZWwtamlyYSJ9" TargetMode="External"/><Relationship Id="rId87" Type="http://schemas.openxmlformats.org/officeDocument/2006/relationships/hyperlink" Target="https://pichincha.atlassian.net/browse/CTB-179?atlOrigin=eyJpIjoiMjBhNWIzMmFjMjdiNGE1YzhhZTE4YmM0ZjA0MDM4ZWYiLCJwIjoiZXhjZWwtamlyYSJ9" TargetMode="External"/><Relationship Id="rId110" Type="http://schemas.openxmlformats.org/officeDocument/2006/relationships/hyperlink" Target="https://pichincha.atlassian.net/browse/CTB-174?atlOrigin=eyJpIjoiMjBhNWIzMmFjMjdiNGE1YzhhZTE4YmM0ZjA0MDM4ZWYiLCJwIjoiZXhjZWwtamlyYSJ9" TargetMode="External"/><Relationship Id="rId115" Type="http://schemas.openxmlformats.org/officeDocument/2006/relationships/hyperlink" Target="https://pichincha.atlassian.net/browse/CTB-210?atlOrigin=eyJpIjoiMjBhNWIzMmFjMjdiNGE1YzhhZTE4YmM0ZjA0MDM4ZWYiLCJwIjoiZXhjZWwtamlyYSJ9" TargetMode="External"/><Relationship Id="rId131" Type="http://schemas.openxmlformats.org/officeDocument/2006/relationships/hyperlink" Target="https://pichincha.atlassian.net/browse/CTB-149?atlOrigin=eyJpIjoiMjBhNWIzMmFjMjdiNGE1YzhhZTE4YmM0ZjA0MDM4ZWYiLCJwIjoiZXhjZWwtamlyYSJ9" TargetMode="External"/><Relationship Id="rId136" Type="http://schemas.openxmlformats.org/officeDocument/2006/relationships/hyperlink" Target="https://pichincha.atlassian.net/browse/CTB-56?atlOrigin=eyJpIjoiMjBhNWIzMmFjMjdiNGE1YzhhZTE4YmM0ZjA0MDM4ZWYiLCJwIjoiZXhjZWwtamlyYSJ9" TargetMode="External"/><Relationship Id="rId61" Type="http://schemas.openxmlformats.org/officeDocument/2006/relationships/hyperlink" Target="https://pichincha.atlassian.net/browse/CTB-56?atlOrigin=eyJpIjoiMjBhNWIzMmFjMjdiNGE1YzhhZTE4YmM0ZjA0MDM4ZWYiLCJwIjoiZXhjZWwtamlyYSJ9" TargetMode="External"/><Relationship Id="rId82" Type="http://schemas.openxmlformats.org/officeDocument/2006/relationships/hyperlink" Target="https://pichincha.atlassian.net/browse/CTB-195?atlOrigin=eyJpIjoiMjBhNWIzMmFjMjdiNGE1YzhhZTE4YmM0ZjA0MDM4ZWYiLCJwIjoiZXhjZWwtamlyYSJ9" TargetMode="External"/><Relationship Id="rId19" Type="http://schemas.openxmlformats.org/officeDocument/2006/relationships/hyperlink" Target="https://pichincha.atlassian.net/browse/CTB-148?atlOrigin=eyJpIjoiMjBhNWIzMmFjMjdiNGE1YzhhZTE4YmM0ZjA0MDM4ZWYiLCJwIjoiZXhjZWwtamlyYSJ9" TargetMode="External"/><Relationship Id="rId14" Type="http://schemas.openxmlformats.org/officeDocument/2006/relationships/hyperlink" Target="https://pichincha.atlassian.net/browse/CTB-131?atlOrigin=eyJpIjoiMjBhNWIzMmFjMjdiNGE1YzhhZTE4YmM0ZjA0MDM4ZWYiLCJwIjoiZXhjZWwtamlyYSJ9" TargetMode="External"/><Relationship Id="rId30" Type="http://schemas.openxmlformats.org/officeDocument/2006/relationships/hyperlink" Target="https://pichincha.atlassian.net/browse/CTB-171?atlOrigin=eyJpIjoiMjBhNWIzMmFjMjdiNGE1YzhhZTE4YmM0ZjA0MDM4ZWYiLCJwIjoiZXhjZWwtamlyYSJ9" TargetMode="External"/><Relationship Id="rId35" Type="http://schemas.openxmlformats.org/officeDocument/2006/relationships/hyperlink" Target="https://pichincha.atlassian.net/browse/CTB-137?atlOrigin=eyJpIjoiMjBhNWIzMmFjMjdiNGE1YzhhZTE4YmM0ZjA0MDM4ZWYiLCJwIjoiZXhjZWwtamlyYSJ9" TargetMode="External"/><Relationship Id="rId56" Type="http://schemas.openxmlformats.org/officeDocument/2006/relationships/hyperlink" Target="https://pichincha.atlassian.net/browse/CTB-148?atlOrigin=eyJpIjoiMjBhNWIzMmFjMjdiNGE1YzhhZTE4YmM0ZjA0MDM4ZWYiLCJwIjoiZXhjZWwtamlyYSJ9" TargetMode="External"/><Relationship Id="rId77" Type="http://schemas.openxmlformats.org/officeDocument/2006/relationships/hyperlink" Target="https://pichincha.atlassian.net/browse/CTB-200?atlOrigin=eyJpIjoiMjBhNWIzMmFjMjdiNGE1YzhhZTE4YmM0ZjA0MDM4ZWYiLCJwIjoiZXhjZWwtamlyYSJ9" TargetMode="External"/><Relationship Id="rId100" Type="http://schemas.openxmlformats.org/officeDocument/2006/relationships/hyperlink" Target="https://pichincha.atlassian.net/browse/CTB-92?atlOrigin=eyJpIjoiMjBhNWIzMmFjMjdiNGE1YzhhZTE4YmM0ZjA0MDM4ZWYiLCJwIjoiZXhjZWwtamlyYSJ9" TargetMode="External"/><Relationship Id="rId105" Type="http://schemas.openxmlformats.org/officeDocument/2006/relationships/hyperlink" Target="https://pichincha.atlassian.net/browse/CTB-53?atlOrigin=eyJpIjoiMjBhNWIzMmFjMjdiNGE1YzhhZTE4YmM0ZjA0MDM4ZWYiLCJwIjoiZXhjZWwtamlyYSJ9" TargetMode="External"/><Relationship Id="rId126" Type="http://schemas.openxmlformats.org/officeDocument/2006/relationships/hyperlink" Target="https://pichincha.atlassian.net/browse/CTB-177?atlOrigin=eyJpIjoiMjBhNWIzMmFjMjdiNGE1YzhhZTE4YmM0ZjA0MDM4ZWYiLCJwIjoiZXhjZWwtamlyYSJ9" TargetMode="External"/><Relationship Id="rId8" Type="http://schemas.openxmlformats.org/officeDocument/2006/relationships/hyperlink" Target="https://pichincha.atlassian.net/browse/CTB-64?atlOrigin=eyJpIjoiMjBhNWIzMmFjMjdiNGE1YzhhZTE4YmM0ZjA0MDM4ZWYiLCJwIjoiZXhjZWwtamlyYSJ9" TargetMode="External"/><Relationship Id="rId51" Type="http://schemas.openxmlformats.org/officeDocument/2006/relationships/hyperlink" Target="https://pichincha.atlassian.net/browse/CTB-20?atlOrigin=eyJpIjoiMjBhNWIzMmFjMjdiNGE1YzhhZTE4YmM0ZjA0MDM4ZWYiLCJwIjoiZXhjZWwtamlyYSJ9" TargetMode="External"/><Relationship Id="rId72" Type="http://schemas.openxmlformats.org/officeDocument/2006/relationships/hyperlink" Target="https://pichincha.atlassian.net/browse/CTB-198?atlOrigin=eyJpIjoiMjBhNWIzMmFjMjdiNGE1YzhhZTE4YmM0ZjA0MDM4ZWYiLCJwIjoiZXhjZWwtamlyYSJ9" TargetMode="External"/><Relationship Id="rId93" Type="http://schemas.openxmlformats.org/officeDocument/2006/relationships/hyperlink" Target="https://pichincha.atlassian.net/browse/CTB-151?atlOrigin=eyJpIjoiMjBhNWIzMmFjMjdiNGE1YzhhZTE4YmM0ZjA0MDM4ZWYiLCJwIjoiZXhjZWwtamlyYSJ9" TargetMode="External"/><Relationship Id="rId98" Type="http://schemas.openxmlformats.org/officeDocument/2006/relationships/hyperlink" Target="https://pichincha.atlassian.net/browse/CTB-133?atlOrigin=eyJpIjoiMjBhNWIzMmFjMjdiNGE1YzhhZTE4YmM0ZjA0MDM4ZWYiLCJwIjoiZXhjZWwtamlyYSJ9" TargetMode="External"/><Relationship Id="rId121" Type="http://schemas.openxmlformats.org/officeDocument/2006/relationships/hyperlink" Target="https://pichincha.atlassian.net/browse/CTB-196?atlOrigin=eyJpIjoiMjBhNWIzMmFjMjdiNGE1YzhhZTE4YmM0ZjA0MDM4ZWYiLCJwIjoiZXhjZWwtamlyYSJ9" TargetMode="External"/><Relationship Id="rId142" Type="http://schemas.openxmlformats.org/officeDocument/2006/relationships/hyperlink" Target="https://pichincha.atlassian.net/browse/CTB-212" TargetMode="External"/><Relationship Id="rId3" Type="http://schemas.openxmlformats.org/officeDocument/2006/relationships/hyperlink" Target="https://pichincha.atlassian.net/browse/CTB-181?atlOrigin=eyJpIjoiMjBhNWIzMmFjMjdiNGE1YzhhZTE4YmM0ZjA0MDM4ZWYiLCJwIjoiZXhjZWwtamlyYSJ9" TargetMode="External"/><Relationship Id="rId25" Type="http://schemas.openxmlformats.org/officeDocument/2006/relationships/hyperlink" Target="https://pichincha.atlassian.net/browse/CTB-170?atlOrigin=eyJpIjoiMjBhNWIzMmFjMjdiNGE1YzhhZTE4YmM0ZjA0MDM4ZWYiLCJwIjoiZXhjZWwtamlyYSJ9" TargetMode="External"/><Relationship Id="rId46" Type="http://schemas.openxmlformats.org/officeDocument/2006/relationships/hyperlink" Target="https://pichincha.atlassian.net/browse/CTB-130?atlOrigin=eyJpIjoiMjBhNWIzMmFjMjdiNGE1YzhhZTE4YmM0ZjA0MDM4ZWYiLCJwIjoiZXhjZWwtamlyYSJ9" TargetMode="External"/><Relationship Id="rId67" Type="http://schemas.openxmlformats.org/officeDocument/2006/relationships/hyperlink" Target="https://pichincha.atlassian.net/browse/CTB-193?atlOrigin=eyJpIjoiMjBhNWIzMmFjMjdiNGE1YzhhZTE4YmM0ZjA0MDM4ZWYiLCJwIjoiZXhjZWwtamlyYSJ9" TargetMode="External"/><Relationship Id="rId116" Type="http://schemas.openxmlformats.org/officeDocument/2006/relationships/hyperlink" Target="https://pichincha.atlassian.net/browse/CTB-209?atlOrigin=eyJpIjoiMjBhNWIzMmFjMjdiNGE1YzhhZTE4YmM0ZjA0MDM4ZWYiLCJwIjoiZXhjZWwtamlyYSJ9" TargetMode="External"/><Relationship Id="rId137" Type="http://schemas.openxmlformats.org/officeDocument/2006/relationships/hyperlink" Target="https://pichincha.atlassian.net/browse/CTB-55?atlOrigin=eyJpIjoiMjBhNWIzMmFjMjdiNGE1YzhhZTE4YmM0ZjA0MDM4ZWYiLCJwIjoiZXhjZWwtamlyYSJ9" TargetMode="External"/><Relationship Id="rId20" Type="http://schemas.openxmlformats.org/officeDocument/2006/relationships/hyperlink" Target="https://pichincha.atlassian.net/browse/CTB-159?atlOrigin=eyJpIjoiMjBhNWIzMmFjMjdiNGE1YzhhZTE4YmM0ZjA0MDM4ZWYiLCJwIjoiZXhjZWwtamlyYSJ9" TargetMode="External"/><Relationship Id="rId41" Type="http://schemas.openxmlformats.org/officeDocument/2006/relationships/hyperlink" Target="https://pichincha.atlassian.net/browse/CTB-137?atlOrigin=eyJpIjoiMjBhNWIzMmFjMjdiNGE1YzhhZTE4YmM0ZjA0MDM4ZWYiLCJwIjoiZXhjZWwtamlyYSJ9" TargetMode="External"/><Relationship Id="rId62" Type="http://schemas.openxmlformats.org/officeDocument/2006/relationships/hyperlink" Target="https://pichincha.atlassian.net/browse/CTB-22?atlOrigin=eyJpIjoiMjBhNWIzMmFjMjdiNGE1YzhhZTE4YmM0ZjA0MDM4ZWYiLCJwIjoiZXhjZWwtamlyYSJ9" TargetMode="External"/><Relationship Id="rId83" Type="http://schemas.openxmlformats.org/officeDocument/2006/relationships/hyperlink" Target="https://pichincha.atlassian.net/browse/CTB-194?atlOrigin=eyJpIjoiMjBhNWIzMmFjMjdiNGE1YzhhZTE4YmM0ZjA0MDM4ZWYiLCJwIjoiZXhjZWwtamlyYSJ9" TargetMode="External"/><Relationship Id="rId88" Type="http://schemas.openxmlformats.org/officeDocument/2006/relationships/hyperlink" Target="https://pichincha.atlassian.net/browse/CTB-177?atlOrigin=eyJpIjoiMjBhNWIzMmFjMjdiNGE1YzhhZTE4YmM0ZjA0MDM4ZWYiLCJwIjoiZXhjZWwtamlyYSJ9" TargetMode="External"/><Relationship Id="rId111" Type="http://schemas.openxmlformats.org/officeDocument/2006/relationships/hyperlink" Target="https://pichincha.atlassian.net/browse/CTB-219?atlOrigin=eyJpIjoiMjBhNWIzMmFjMjdiNGE1YzhhZTE4YmM0ZjA0MDM4ZWYiLCJwIjoiZXhjZWwtamlyYSJ9" TargetMode="External"/><Relationship Id="rId132" Type="http://schemas.openxmlformats.org/officeDocument/2006/relationships/hyperlink" Target="https://pichincha.atlassian.net/browse/CTB-148?atlOrigin=eyJpIjoiMjBhNWIzMmFjMjdiNGE1YzhhZTE4YmM0ZjA0MDM4ZWYiLCJwIjoiZXhjZWwtamlyYSJ9" TargetMode="External"/><Relationship Id="rId15" Type="http://schemas.openxmlformats.org/officeDocument/2006/relationships/hyperlink" Target="https://pichincha.atlassian.net/browse/CTB-55?atlOrigin=eyJpIjoiMjBhNWIzMmFjMjdiNGE1YzhhZTE4YmM0ZjA0MDM4ZWYiLCJwIjoiZXhjZWwtamlyYSJ9" TargetMode="External"/><Relationship Id="rId36" Type="http://schemas.openxmlformats.org/officeDocument/2006/relationships/hyperlink" Target="https://pichincha.atlassian.net/browse/CTB-160?atlOrigin=eyJpIjoiMjBhNWIzMmFjMjdiNGE1YzhhZTE4YmM0ZjA0MDM4ZWYiLCJwIjoiZXhjZWwtamlyYSJ9" TargetMode="External"/><Relationship Id="rId57" Type="http://schemas.openxmlformats.org/officeDocument/2006/relationships/hyperlink" Target="https://pichincha.atlassian.net/browse/CTB-150?atlOrigin=eyJpIjoiMjBhNWIzMmFjMjdiNGE1YzhhZTE4YmM0ZjA0MDM4ZWYiLCJwIjoiZXhjZWwtamlyYSJ9" TargetMode="External"/><Relationship Id="rId106" Type="http://schemas.openxmlformats.org/officeDocument/2006/relationships/hyperlink" Target="https://pichincha.atlassian.net/browse/CTB-51?atlOrigin=eyJpIjoiMjBhNWIzMmFjMjdiNGE1YzhhZTE4YmM0ZjA0MDM4ZWYiLCJwIjoiZXhjZWwtamlyYSJ9" TargetMode="External"/><Relationship Id="rId127" Type="http://schemas.openxmlformats.org/officeDocument/2006/relationships/hyperlink" Target="https://pichincha.atlassian.net/browse/CTB-171?atlOrigin=eyJpIjoiMjBhNWIzMmFjMjdiNGE1YzhhZTE4YmM0ZjA0MDM4ZWYiLCJwIjoiZXhjZWwtamlyYSJ9" TargetMode="External"/><Relationship Id="rId10" Type="http://schemas.openxmlformats.org/officeDocument/2006/relationships/hyperlink" Target="https://pichincha.atlassian.net/browse/CTB-54?atlOrigin=eyJpIjoiMjBhNWIzMmFjMjdiNGE1YzhhZTE4YmM0ZjA0MDM4ZWYiLCJwIjoiZXhjZWwtamlyYSJ9" TargetMode="External"/><Relationship Id="rId31" Type="http://schemas.openxmlformats.org/officeDocument/2006/relationships/hyperlink" Target="https://pichincha.atlassian.net/browse/CTB-108?atlOrigin=eyJpIjoiMjBhNWIzMmFjMjdiNGE1YzhhZTE4YmM0ZjA0MDM4ZWYiLCJwIjoiZXhjZWwtamlyYSJ9" TargetMode="External"/><Relationship Id="rId52" Type="http://schemas.openxmlformats.org/officeDocument/2006/relationships/hyperlink" Target="https://pichincha.atlassian.net/browse/CTB-131?atlOrigin=eyJpIjoiMjBhNWIzMmFjMjdiNGE1YzhhZTE4YmM0ZjA0MDM4ZWYiLCJwIjoiZXhjZWwtamlyYSJ9" TargetMode="External"/><Relationship Id="rId73" Type="http://schemas.openxmlformats.org/officeDocument/2006/relationships/hyperlink" Target="https://pichincha.atlassian.net/browse/CTB-200?atlOrigin=eyJpIjoiMjBhNWIzMmFjMjdiNGE1YzhhZTE4YmM0ZjA0MDM4ZWYiLCJwIjoiZXhjZWwtamlyYSJ9" TargetMode="External"/><Relationship Id="rId78" Type="http://schemas.openxmlformats.org/officeDocument/2006/relationships/hyperlink" Target="https://pichincha.atlassian.net/browse/CTB-199?atlOrigin=eyJpIjoiMjBhNWIzMmFjMjdiNGE1YzhhZTE4YmM0ZjA0MDM4ZWYiLCJwIjoiZXhjZWwtamlyYSJ9" TargetMode="External"/><Relationship Id="rId94" Type="http://schemas.openxmlformats.org/officeDocument/2006/relationships/hyperlink" Target="https://pichincha.atlassian.net/browse/CTB-149?atlOrigin=eyJpIjoiMjBhNWIzMmFjMjdiNGE1YzhhZTE4YmM0ZjA0MDM4ZWYiLCJwIjoiZXhjZWwtamlyYSJ9" TargetMode="External"/><Relationship Id="rId99" Type="http://schemas.openxmlformats.org/officeDocument/2006/relationships/hyperlink" Target="https://pichincha.atlassian.net/browse/CTB-130?atlOrigin=eyJpIjoiMjBhNWIzMmFjMjdiNGE1YzhhZTE4YmM0ZjA0MDM4ZWYiLCJwIjoiZXhjZWwtamlyYSJ9" TargetMode="External"/><Relationship Id="rId101" Type="http://schemas.openxmlformats.org/officeDocument/2006/relationships/hyperlink" Target="https://pichincha.atlassian.net/browse/CTB-70?atlOrigin=eyJpIjoiMjBhNWIzMmFjMjdiNGE1YzhhZTE4YmM0ZjA0MDM4ZWYiLCJwIjoiZXhjZWwtamlyYSJ9" TargetMode="External"/><Relationship Id="rId122" Type="http://schemas.openxmlformats.org/officeDocument/2006/relationships/hyperlink" Target="https://pichincha.atlassian.net/browse/CTB-195?atlOrigin=eyJpIjoiMjBhNWIzMmFjMjdiNGE1YzhhZTE4YmM0ZjA0MDM4ZWYiLCJwIjoiZXhjZWwtamlyYSJ9" TargetMode="External"/><Relationship Id="rId143" Type="http://schemas.openxmlformats.org/officeDocument/2006/relationships/hyperlink" Target="https://pichincha.atlassian.net/browse/CTB-211" TargetMode="External"/><Relationship Id="rId4" Type="http://schemas.openxmlformats.org/officeDocument/2006/relationships/hyperlink" Target="https://pichincha.atlassian.net/browse/CTB-174?atlOrigin=eyJpIjoiMjBhNWIzMmFjMjdiNGE1YzhhZTE4YmM0ZjA0MDM4ZWYiLCJwIjoiZXhjZWwtamlyYSJ9" TargetMode="External"/><Relationship Id="rId9" Type="http://schemas.openxmlformats.org/officeDocument/2006/relationships/hyperlink" Target="https://pichincha.atlassian.net/browse/CTB-53?atlOrigin=eyJpIjoiMjBhNWIzMmFjMjdiNGE1YzhhZTE4YmM0ZjA0MDM4ZWYiLCJwIjoiZXhjZWwtamlyYSJ9" TargetMode="External"/><Relationship Id="rId26" Type="http://schemas.openxmlformats.org/officeDocument/2006/relationships/hyperlink" Target="https://pichincha.atlassian.net/browse/CTB-175?atlOrigin=eyJpIjoiMjBhNWIzMmFjMjdiNGE1YzhhZTE4YmM0ZjA0MDM4ZWYiLCJwIjoiZXhjZWwtamlyYSJ9" TargetMode="External"/><Relationship Id="rId47" Type="http://schemas.openxmlformats.org/officeDocument/2006/relationships/hyperlink" Target="https://pichincha.atlassian.net/browse/CTB-154?atlOrigin=eyJpIjoiMjBhNWIzMmFjMjdiNGE1YzhhZTE4YmM0ZjA0MDM4ZWYiLCJwIjoiZXhjZWwtamlyYSJ9" TargetMode="External"/><Relationship Id="rId68" Type="http://schemas.openxmlformats.org/officeDocument/2006/relationships/hyperlink" Target="https://pichincha.atlassian.net/browse/CTB-185?atlOrigin=eyJpIjoiMjBhNWIzMmFjMjdiNGE1YzhhZTE4YmM0ZjA0MDM4ZWYiLCJwIjoiZXhjZWwtamlyYSJ9" TargetMode="External"/><Relationship Id="rId89" Type="http://schemas.openxmlformats.org/officeDocument/2006/relationships/hyperlink" Target="https://pichincha.atlassian.net/browse/CTB-171?atlOrigin=eyJpIjoiMjBhNWIzMmFjMjdiNGE1YzhhZTE4YmM0ZjA0MDM4ZWYiLCJwIjoiZXhjZWwtamlyYSJ9" TargetMode="External"/><Relationship Id="rId112" Type="http://schemas.openxmlformats.org/officeDocument/2006/relationships/hyperlink" Target="https://pichincha.atlassian.net/browse/CTB-218?atlOrigin=eyJpIjoiMjBhNWIzMmFjMjdiNGE1YzhhZTE4YmM0ZjA0MDM4ZWYiLCJwIjoiZXhjZWwtamlyYSJ9" TargetMode="External"/><Relationship Id="rId133" Type="http://schemas.openxmlformats.org/officeDocument/2006/relationships/hyperlink" Target="https://pichincha.atlassian.net/browse/CTB-137?atlOrigin=eyJpIjoiMjBhNWIzMmFjMjdiNGE1YzhhZTE4YmM0ZjA0MDM4ZWYiLCJwIjoiZXhjZWwtamlyYSJ9" TargetMode="External"/><Relationship Id="rId16" Type="http://schemas.openxmlformats.org/officeDocument/2006/relationships/hyperlink" Target="https://pichincha.atlassian.net/browse/CTB-77?atlOrigin=eyJpIjoiMjBhNWIzMmFjMjdiNGE1YzhhZTE4YmM0ZjA0MDM4ZWYiLCJwIjoiZXhjZWwtamlyYSJ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EF42-F508-4D13-92C8-45AE4A65B9A4}">
  <sheetPr codeName="Hoja1"/>
  <dimension ref="A1:I5"/>
  <sheetViews>
    <sheetView workbookViewId="0">
      <selection activeCell="A7" sqref="A7"/>
    </sheetView>
  </sheetViews>
  <sheetFormatPr baseColWidth="10" defaultRowHeight="15" x14ac:dyDescent="0.25"/>
  <cols>
    <col min="3" max="3" width="13.42578125" bestFit="1" customWidth="1"/>
    <col min="4" max="4" width="15.42578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t="s">
        <v>7</v>
      </c>
    </row>
    <row r="2" spans="1:9" x14ac:dyDescent="0.25">
      <c r="A2" t="s">
        <v>7</v>
      </c>
      <c r="B2" t="s">
        <v>11</v>
      </c>
      <c r="C2">
        <v>1200</v>
      </c>
      <c r="D2">
        <v>1</v>
      </c>
      <c r="E2">
        <v>500</v>
      </c>
      <c r="F2" cm="1">
        <f t="array" ref="F2">calcularSalario(C2,D2,E2)</f>
        <v>255</v>
      </c>
      <c r="I2" t="s">
        <v>8</v>
      </c>
    </row>
    <row r="3" spans="1:9" x14ac:dyDescent="0.25">
      <c r="A3" t="s">
        <v>8</v>
      </c>
      <c r="B3" t="s">
        <v>12</v>
      </c>
      <c r="C3">
        <v>1500</v>
      </c>
      <c r="D3">
        <v>2</v>
      </c>
      <c r="E3">
        <v>900</v>
      </c>
      <c r="F3" cm="1">
        <f t="array" ref="F3">calcularSalario(C3,D3,E3)</f>
        <v>600</v>
      </c>
      <c r="I3" t="s">
        <v>9</v>
      </c>
    </row>
    <row r="4" spans="1:9" x14ac:dyDescent="0.25">
      <c r="A4" t="s">
        <v>9</v>
      </c>
      <c r="B4" t="s">
        <v>13</v>
      </c>
      <c r="C4">
        <v>1800</v>
      </c>
      <c r="D4">
        <v>2</v>
      </c>
      <c r="E4">
        <v>300</v>
      </c>
      <c r="F4" cm="1">
        <f t="array" ref="F4">calcularSalario(C4,D4,E4)</f>
        <v>525</v>
      </c>
    </row>
    <row r="5" spans="1:9" x14ac:dyDescent="0.25">
      <c r="A5" t="s">
        <v>10</v>
      </c>
      <c r="B5" t="s">
        <v>14</v>
      </c>
      <c r="C5">
        <v>1350</v>
      </c>
      <c r="D5">
        <v>3</v>
      </c>
      <c r="E5">
        <v>800</v>
      </c>
      <c r="F5" cm="1">
        <f t="array" ref="F5">calcularSalario(C5,D5,E5)</f>
        <v>752.5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1E56E-2926-4F3C-B70F-FB99AD13C5AC}">
  <sheetPr codeName="Hoja2"/>
  <dimension ref="A1:J149"/>
  <sheetViews>
    <sheetView tabSelected="1" workbookViewId="0">
      <selection activeCell="C7" sqref="C7"/>
    </sheetView>
  </sheetViews>
  <sheetFormatPr baseColWidth="10" defaultRowHeight="15" x14ac:dyDescent="0.25"/>
  <cols>
    <col min="2" max="2" width="3" bestFit="1" customWidth="1"/>
    <col min="3" max="3" width="72.5703125" customWidth="1"/>
  </cols>
  <sheetData>
    <row r="1" spans="1:10" ht="15.75" thickBot="1" x14ac:dyDescent="0.3"/>
    <row r="2" spans="1:10" ht="17.25" thickTop="1" thickBot="1" x14ac:dyDescent="0.3">
      <c r="A2" s="2" t="s">
        <v>15</v>
      </c>
      <c r="B2" s="3">
        <v>71</v>
      </c>
      <c r="C2" t="s">
        <v>16</v>
      </c>
      <c r="D2" t="s">
        <v>17</v>
      </c>
      <c r="E2" s="3" t="s">
        <v>18</v>
      </c>
      <c r="F2" s="3" t="s">
        <v>19</v>
      </c>
      <c r="G2" t="s">
        <v>20</v>
      </c>
      <c r="H2" s="4" t="e">
        <f>[1]!Tabla1[[#This Row],[Descripción]]</f>
        <v>#VALUE!</v>
      </c>
      <c r="I2" s="5"/>
      <c r="J2" s="6" t="e">
        <f>IF([1]!Tabla1[[#This Row],[Etapa]]="OK",1,IF([1]!Tabla1[[#This Row],[Etapa]]="EN PROCESO",0,-1))</f>
        <v>#VALUE!</v>
      </c>
    </row>
    <row r="3" spans="1:10" ht="17.25" thickTop="1" thickBot="1" x14ac:dyDescent="0.3">
      <c r="A3" s="2" t="s">
        <v>21</v>
      </c>
      <c r="B3" s="3">
        <v>71</v>
      </c>
      <c r="C3" t="s">
        <v>22</v>
      </c>
      <c r="D3" t="s">
        <v>23</v>
      </c>
      <c r="E3" s="3" t="s">
        <v>24</v>
      </c>
      <c r="F3" s="3" t="s">
        <v>19</v>
      </c>
      <c r="G3" t="s">
        <v>25</v>
      </c>
      <c r="H3" s="7" t="e">
        <f>[1]!Tabla1[[#This Row],[Descripción]]</f>
        <v>#VALUE!</v>
      </c>
      <c r="I3" s="8"/>
      <c r="J3" s="6" t="e">
        <f>IF([1]!Tabla1[[#This Row],[Etapa]]="OK",1,IF([1]!Tabla1[[#This Row],[Etapa]]="EN PROCESO",0,-1))</f>
        <v>#VALUE!</v>
      </c>
    </row>
    <row r="4" spans="1:10" ht="17.25" thickTop="1" thickBot="1" x14ac:dyDescent="0.3">
      <c r="A4" s="2" t="s">
        <v>26</v>
      </c>
      <c r="B4" s="3">
        <v>71</v>
      </c>
      <c r="C4" t="s">
        <v>27</v>
      </c>
      <c r="D4" t="s">
        <v>28</v>
      </c>
      <c r="E4" s="3" t="s">
        <v>24</v>
      </c>
      <c r="F4" s="3" t="s">
        <v>19</v>
      </c>
      <c r="G4" t="s">
        <v>25</v>
      </c>
      <c r="H4" s="7" t="e">
        <f>[1]!Tabla1[[#This Row],[Descripción]]</f>
        <v>#VALUE!</v>
      </c>
      <c r="I4" s="8"/>
      <c r="J4" s="6" t="e">
        <f>IF([1]!Tabla1[[#This Row],[Etapa]]="OK",1,IF([1]!Tabla1[[#This Row],[Etapa]]="EN PROCESO",0,-1))</f>
        <v>#VALUE!</v>
      </c>
    </row>
    <row r="5" spans="1:10" ht="17.25" thickTop="1" thickBot="1" x14ac:dyDescent="0.3">
      <c r="A5" s="2" t="s">
        <v>29</v>
      </c>
      <c r="B5" s="3">
        <v>71</v>
      </c>
      <c r="C5" t="s">
        <v>30</v>
      </c>
      <c r="D5" t="s">
        <v>31</v>
      </c>
      <c r="E5" s="3" t="s">
        <v>32</v>
      </c>
      <c r="F5" s="3" t="s">
        <v>33</v>
      </c>
      <c r="G5" t="s">
        <v>34</v>
      </c>
      <c r="H5" s="9" t="e">
        <f>[1]!Tabla1[[#This Row],[Descripción]]</f>
        <v>#VALUE!</v>
      </c>
      <c r="I5" s="5"/>
      <c r="J5" s="6" t="e">
        <f>IF([1]!Tabla1[[#This Row],[Etapa]]="OK",1,IF([1]!Tabla1[[#This Row],[Etapa]]="EN PROCESO",0,-1))</f>
        <v>#VALUE!</v>
      </c>
    </row>
    <row r="6" spans="1:10" ht="17.25" thickTop="1" thickBot="1" x14ac:dyDescent="0.3">
      <c r="A6" s="2" t="s">
        <v>35</v>
      </c>
      <c r="B6" s="3">
        <v>71</v>
      </c>
      <c r="C6" t="s">
        <v>36</v>
      </c>
      <c r="D6" t="s">
        <v>28</v>
      </c>
      <c r="E6" s="3" t="s">
        <v>24</v>
      </c>
      <c r="F6" s="3" t="s">
        <v>19</v>
      </c>
      <c r="G6" t="s">
        <v>25</v>
      </c>
      <c r="H6" s="7" t="e">
        <f>[1]!Tabla1[[#This Row],[Descripción]]</f>
        <v>#VALUE!</v>
      </c>
      <c r="I6" s="5"/>
      <c r="J6" s="6" t="e">
        <f>IF([1]!Tabla1[[#This Row],[Etapa]]="OK",1,IF([1]!Tabla1[[#This Row],[Etapa]]="EN PROCESO",0,-1))</f>
        <v>#VALUE!</v>
      </c>
    </row>
    <row r="7" spans="1:10" ht="17.25" thickTop="1" thickBot="1" x14ac:dyDescent="0.3">
      <c r="A7" s="2" t="s">
        <v>37</v>
      </c>
      <c r="B7" s="3">
        <v>71</v>
      </c>
      <c r="C7" t="s">
        <v>38</v>
      </c>
      <c r="D7" t="s">
        <v>23</v>
      </c>
      <c r="E7" s="3" t="s">
        <v>24</v>
      </c>
      <c r="F7" s="3" t="s">
        <v>19</v>
      </c>
      <c r="G7" t="s">
        <v>25</v>
      </c>
      <c r="H7" s="7" t="e">
        <f>[1]!Tabla1[[#This Row],[Descripción]]</f>
        <v>#VALUE!</v>
      </c>
      <c r="I7" s="5"/>
      <c r="J7" s="6" t="e">
        <f>IF([1]!Tabla1[[#This Row],[Etapa]]="OK",1,IF([1]!Tabla1[[#This Row],[Etapa]]="EN PROCESO",0,-1))</f>
        <v>#VALUE!</v>
      </c>
    </row>
    <row r="8" spans="1:10" ht="17.25" thickTop="1" thickBot="1" x14ac:dyDescent="0.3">
      <c r="A8" s="2" t="s">
        <v>39</v>
      </c>
      <c r="B8" s="3">
        <v>71</v>
      </c>
      <c r="C8" t="s">
        <v>40</v>
      </c>
      <c r="D8" t="s">
        <v>23</v>
      </c>
      <c r="E8" s="3" t="s">
        <v>18</v>
      </c>
      <c r="F8" s="3" t="s">
        <v>19</v>
      </c>
      <c r="G8" t="s">
        <v>41</v>
      </c>
      <c r="H8" s="10" t="e">
        <f>[1]!Tabla1[[#This Row],[Descripción]]</f>
        <v>#VALUE!</v>
      </c>
      <c r="I8" s="5"/>
      <c r="J8" s="6" t="e">
        <f>IF([1]!Tabla1[[#This Row],[Etapa]]="OK",1,IF([1]!Tabla1[[#This Row],[Etapa]]="EN PROCESO",0,-1))</f>
        <v>#VALUE!</v>
      </c>
    </row>
    <row r="9" spans="1:10" ht="17.25" thickTop="1" thickBot="1" x14ac:dyDescent="0.3">
      <c r="A9" s="2" t="s">
        <v>42</v>
      </c>
      <c r="B9" s="3">
        <v>71</v>
      </c>
      <c r="C9" t="s">
        <v>43</v>
      </c>
      <c r="D9" t="s">
        <v>17</v>
      </c>
      <c r="E9" s="3" t="s">
        <v>18</v>
      </c>
      <c r="F9" s="3" t="s">
        <v>19</v>
      </c>
      <c r="G9" t="s">
        <v>44</v>
      </c>
      <c r="H9" s="10" t="e">
        <f>[1]!Tabla1[[#This Row],[Descripción]]</f>
        <v>#VALUE!</v>
      </c>
      <c r="I9" s="5"/>
      <c r="J9" s="6" t="e">
        <f>IF([1]!Tabla1[[#This Row],[Etapa]]="OK",1,IF([1]!Tabla1[[#This Row],[Etapa]]="EN PROCESO",0,-1))</f>
        <v>#VALUE!</v>
      </c>
    </row>
    <row r="10" spans="1:10" ht="78" thickTop="1" thickBot="1" x14ac:dyDescent="0.3">
      <c r="A10" s="2" t="s">
        <v>45</v>
      </c>
      <c r="B10" s="3">
        <v>71</v>
      </c>
      <c r="C10" t="s">
        <v>46</v>
      </c>
      <c r="D10" t="s">
        <v>28</v>
      </c>
      <c r="E10" s="3" t="s">
        <v>24</v>
      </c>
      <c r="F10" s="3" t="s">
        <v>19</v>
      </c>
      <c r="G10" t="s">
        <v>20</v>
      </c>
      <c r="H10" s="7" t="str">
        <f>[1]!Tabla1[[#This Row],[Descripción]]</f>
        <v>Cierre de flujo de autenticacion Wallet FJ (5)</v>
      </c>
      <c r="I10" s="5"/>
      <c r="J10" s="6">
        <f>IF([1]!Tabla1[[#This Row],[Etapa]]="OK",1,IF([1]!Tabla1[[#This Row],[Etapa]]="EN PROCESO",0,-1))</f>
        <v>-1</v>
      </c>
    </row>
    <row r="11" spans="1:10" ht="116.25" thickTop="1" thickBot="1" x14ac:dyDescent="0.3">
      <c r="A11" s="2" t="s">
        <v>47</v>
      </c>
      <c r="B11" s="3">
        <v>71</v>
      </c>
      <c r="C11" t="s">
        <v>48</v>
      </c>
      <c r="D11" t="s">
        <v>28</v>
      </c>
      <c r="E11" s="3" t="s">
        <v>24</v>
      </c>
      <c r="F11" s="3" t="s">
        <v>19</v>
      </c>
      <c r="G11" t="s">
        <v>25</v>
      </c>
      <c r="H11" s="7" t="str">
        <f>[1]!Tabla1[[#This Row],[Descripción]]</f>
        <v>P1.Plan de Monitoreo Billetera pichincha(8)(DJ) C00021611</v>
      </c>
      <c r="I11" s="5"/>
      <c r="J11" s="6">
        <f>IF([1]!Tabla1[[#This Row],[Etapa]]="OK",1,IF([1]!Tabla1[[#This Row],[Etapa]]="EN PROCESO",0,-1))</f>
        <v>-1</v>
      </c>
    </row>
    <row r="12" spans="1:10" ht="90.75" thickTop="1" thickBot="1" x14ac:dyDescent="0.3">
      <c r="A12" s="2" t="s">
        <v>49</v>
      </c>
      <c r="B12" s="3">
        <v>71</v>
      </c>
      <c r="C12" t="s">
        <v>50</v>
      </c>
      <c r="D12" t="s">
        <v>28</v>
      </c>
      <c r="E12" s="3" t="s">
        <v>18</v>
      </c>
      <c r="F12" s="3" t="s">
        <v>19</v>
      </c>
      <c r="G12" t="s">
        <v>20</v>
      </c>
      <c r="H12" s="10" t="str">
        <f>[1]!Tabla1[[#This Row],[Descripción]]</f>
        <v>Soporte- Documentación de plan de monitoreo(DJ)13 V1</v>
      </c>
      <c r="I12" s="5"/>
      <c r="J12" s="6">
        <f>IF([1]!Tabla1[[#This Row],[Etapa]]="OK",1,IF([1]!Tabla1[[#This Row],[Etapa]]="EN PROCESO",0,-1))</f>
        <v>-1</v>
      </c>
    </row>
    <row r="13" spans="1:10" ht="167.25" thickTop="1" thickBot="1" x14ac:dyDescent="0.3">
      <c r="A13" s="2" t="s">
        <v>51</v>
      </c>
      <c r="B13" s="3">
        <v>71</v>
      </c>
      <c r="C13" t="s">
        <v>52</v>
      </c>
      <c r="D13" t="s">
        <v>53</v>
      </c>
      <c r="E13" s="3" t="s">
        <v>54</v>
      </c>
      <c r="F13" s="3" t="s">
        <v>33</v>
      </c>
      <c r="G13" t="s">
        <v>55</v>
      </c>
      <c r="H13" s="11" t="str">
        <f>[1]!Tabla1[[#This Row],[Descripción]]</f>
        <v>Servicio para resetear clave de usuarios sin PIN (16)(KE) (Pendiente recurso WSO2) C00020307 (WSO2)</v>
      </c>
      <c r="I13" s="5"/>
      <c r="J13" s="6">
        <f>IF([1]!Tabla1[[#This Row],[Etapa]]="OK",1,IF([1]!Tabla1[[#This Row],[Etapa]]="EN PROCESO",0,-1))</f>
        <v>-1</v>
      </c>
    </row>
    <row r="14" spans="1:10" ht="129" thickTop="1" thickBot="1" x14ac:dyDescent="0.3">
      <c r="A14" s="2" t="s">
        <v>56</v>
      </c>
      <c r="B14" s="3">
        <v>71</v>
      </c>
      <c r="C14" t="s">
        <v>57</v>
      </c>
      <c r="D14" t="s">
        <v>28</v>
      </c>
      <c r="E14" s="3" t="s">
        <v>18</v>
      </c>
      <c r="F14" s="3" t="s">
        <v>19</v>
      </c>
      <c r="G14" t="s">
        <v>20</v>
      </c>
      <c r="H14" s="10" t="str">
        <f>[1]!Tabla1[[#This Row],[Descripción]]</f>
        <v>Diagrama CMDB y Plan de Monitoreo para plan de monitoreo(8) DJ C00021607</v>
      </c>
      <c r="I14" s="5"/>
      <c r="J14" s="6">
        <f>IF([1]!Tabla1[[#This Row],[Etapa]]="OK",1,IF([1]!Tabla1[[#This Row],[Etapa]]="EN PROCESO",0,-1))</f>
        <v>-1</v>
      </c>
    </row>
    <row r="15" spans="1:10" ht="116.25" thickTop="1" thickBot="1" x14ac:dyDescent="0.3">
      <c r="A15" s="2" t="s">
        <v>58</v>
      </c>
      <c r="B15" s="3">
        <v>71</v>
      </c>
      <c r="C15" t="s">
        <v>59</v>
      </c>
      <c r="D15" t="s">
        <v>60</v>
      </c>
      <c r="E15" s="3" t="s">
        <v>18</v>
      </c>
      <c r="F15" s="3" t="s">
        <v>19</v>
      </c>
      <c r="G15" t="s">
        <v>44</v>
      </c>
      <c r="H15" s="10" t="str">
        <f>[1]!Tabla1[[#This Row],[Descripción]]</f>
        <v>Activar en Datapower Interno flag log transaccional FJ V1 (13)</v>
      </c>
      <c r="I15" s="5"/>
      <c r="J15" s="6">
        <f>IF([1]!Tabla1[[#This Row],[Etapa]]="OK",1,IF([1]!Tabla1[[#This Row],[Etapa]]="EN PROCESO",0,-1))</f>
        <v>-1</v>
      </c>
    </row>
    <row r="16" spans="1:10" ht="243.75" thickTop="1" thickBot="1" x14ac:dyDescent="0.3">
      <c r="A16" s="2" t="s">
        <v>61</v>
      </c>
      <c r="B16" s="3">
        <v>71</v>
      </c>
      <c r="C16" t="s">
        <v>62</v>
      </c>
      <c r="D16" t="s">
        <v>28</v>
      </c>
      <c r="E16" s="3" t="s">
        <v>32</v>
      </c>
      <c r="F16" s="3" t="s">
        <v>33</v>
      </c>
      <c r="G16" t="s">
        <v>63</v>
      </c>
      <c r="H16" s="9" t="str">
        <f>[1]!Tabla1[[#This Row],[Descripción]]</f>
        <v>Revisar porque flag de log transaccional no está activado o no está registrando en base de datos para ORQProductos0036 y activarlo KE(8) V1</v>
      </c>
      <c r="I16" s="5"/>
      <c r="J16" s="6">
        <f>IF([1]!Tabla1[[#This Row],[Etapa]]="OK",1,IF([1]!Tabla1[[#This Row],[Etapa]]="EN PROCESO",0,-1))</f>
        <v>-1</v>
      </c>
    </row>
    <row r="17" spans="1:10" ht="129" thickTop="1" thickBot="1" x14ac:dyDescent="0.3">
      <c r="A17" s="12" t="s">
        <v>64</v>
      </c>
      <c r="B17" s="3">
        <v>71</v>
      </c>
      <c r="C17" s="3" t="s">
        <v>65</v>
      </c>
      <c r="D17" t="s">
        <v>17</v>
      </c>
      <c r="E17" s="3" t="s">
        <v>18</v>
      </c>
      <c r="F17" s="3" t="s">
        <v>19</v>
      </c>
      <c r="G17" t="s">
        <v>55</v>
      </c>
      <c r="H17" s="10" t="str">
        <f>[1]!Tabla1[[#This Row],[Descripción]]</f>
        <v>1 Servicio Consulta Filtros Duros y Capacidad de Pago Beclever KE 8</v>
      </c>
      <c r="I17" s="5"/>
      <c r="J17" s="6">
        <f>IF([1]!Tabla1[[#This Row],[Etapa]]="OK",1,IF([1]!Tabla1[[#This Row],[Etapa]]="EN PROCESO",0,-1))</f>
        <v>-1</v>
      </c>
    </row>
    <row r="18" spans="1:10" ht="129" thickTop="1" thickBot="1" x14ac:dyDescent="0.3">
      <c r="A18" s="2" t="s">
        <v>66</v>
      </c>
      <c r="B18" s="3">
        <v>71</v>
      </c>
      <c r="C18" t="s">
        <v>67</v>
      </c>
      <c r="D18" t="s">
        <v>28</v>
      </c>
      <c r="E18" s="3" t="s">
        <v>32</v>
      </c>
      <c r="F18" s="3" t="s">
        <v>33</v>
      </c>
      <c r="G18" t="s">
        <v>63</v>
      </c>
      <c r="H18" s="9" t="str">
        <f>[1]!Tabla1[[#This Row],[Descripción]]</f>
        <v>1 Cambio de URL de flujo anterior a nuevo Flujo en pantalla de Landing WB (13)</v>
      </c>
      <c r="I18" s="5"/>
      <c r="J18" s="6">
        <f>IF([1]!Tabla1[[#This Row],[Etapa]]="OK",1,IF([1]!Tabla1[[#This Row],[Etapa]]="EN PROCESO",0,-1))</f>
        <v>-1</v>
      </c>
    </row>
    <row r="19" spans="1:10" ht="90.75" thickTop="1" thickBot="1" x14ac:dyDescent="0.3">
      <c r="A19" s="2" t="s">
        <v>68</v>
      </c>
      <c r="B19" s="3">
        <v>71</v>
      </c>
      <c r="C19" t="s">
        <v>69</v>
      </c>
      <c r="D19" t="s">
        <v>70</v>
      </c>
      <c r="E19" s="3" t="s">
        <v>32</v>
      </c>
      <c r="F19" s="3" t="s">
        <v>19</v>
      </c>
      <c r="G19" t="s">
        <v>71</v>
      </c>
      <c r="H19" s="9" t="str">
        <f>[1]!Tabla1[[#This Row],[Descripción]]</f>
        <v>2. Configuración ODM notificaciones App(JP)(13)</v>
      </c>
      <c r="I19" s="5"/>
      <c r="J19" s="6">
        <f>IF([1]!Tabla1[[#This Row],[Etapa]]="OK",1,IF([1]!Tabla1[[#This Row],[Etapa]]="EN PROCESO",0,-1))</f>
        <v>-1</v>
      </c>
    </row>
    <row r="20" spans="1:10" ht="180" thickTop="1" thickBot="1" x14ac:dyDescent="0.3">
      <c r="A20" s="2" t="s">
        <v>72</v>
      </c>
      <c r="B20" s="3">
        <v>71</v>
      </c>
      <c r="C20" t="s">
        <v>73</v>
      </c>
      <c r="D20" t="s">
        <v>17</v>
      </c>
      <c r="E20" s="3" t="s">
        <v>32</v>
      </c>
      <c r="F20" s="3" t="s">
        <v>33</v>
      </c>
      <c r="G20" t="s">
        <v>34</v>
      </c>
      <c r="H20" s="9" t="str">
        <f>[1]!Tabla1[[#This Row],[Descripción]]</f>
        <v>2. Servicio para resetear clave de usuarios sin PIN (16)(KE) (Pendiente recurso WSO2) C00020307 (WSO2)</v>
      </c>
      <c r="I20" s="5"/>
      <c r="J20" s="6">
        <f>IF([1]!Tabla1[[#This Row],[Etapa]]="OK",1,IF([1]!Tabla1[[#This Row],[Etapa]]="EN PROCESO",0,-1))</f>
        <v>-1</v>
      </c>
    </row>
    <row r="21" spans="1:10" ht="256.5" thickTop="1" thickBot="1" x14ac:dyDescent="0.3">
      <c r="A21" s="2" t="s">
        <v>74</v>
      </c>
      <c r="B21" s="3">
        <v>71</v>
      </c>
      <c r="C21" t="s">
        <v>75</v>
      </c>
      <c r="D21" t="s">
        <v>17</v>
      </c>
      <c r="E21" s="3" t="s">
        <v>32</v>
      </c>
      <c r="F21" s="3" t="s">
        <v>33</v>
      </c>
      <c r="G21" t="s">
        <v>34</v>
      </c>
      <c r="H21" s="9" t="str">
        <f>[1]!Tabla1[[#This Row],[Descripción]]</f>
        <v>2.Crear ambiente de pre-producción para banca móvil (Análisis no productivos, producción y arquitectura)(Sin asignación Business Capability)</v>
      </c>
      <c r="I21" s="5"/>
      <c r="J21" s="6">
        <f>IF([1]!Tabla1[[#This Row],[Etapa]]="OK",1,IF([1]!Tabla1[[#This Row],[Etapa]]="EN PROCESO",0,-1))</f>
        <v>-1</v>
      </c>
    </row>
    <row r="22" spans="1:10" ht="129" thickTop="1" thickBot="1" x14ac:dyDescent="0.3">
      <c r="A22" s="2" t="s">
        <v>76</v>
      </c>
      <c r="B22" s="3">
        <v>71</v>
      </c>
      <c r="C22" t="s">
        <v>77</v>
      </c>
      <c r="D22" t="s">
        <v>17</v>
      </c>
      <c r="E22" s="3" t="s">
        <v>32</v>
      </c>
      <c r="F22" s="3" t="s">
        <v>33</v>
      </c>
      <c r="G22" t="s">
        <v>34</v>
      </c>
      <c r="H22" s="9" t="str">
        <f>[1]!Tabla1[[#This Row],[Descripción]]</f>
        <v>Activar en Datapower Interno flag log transaccional FJ V1 (13) V2(8)</v>
      </c>
      <c r="I22" s="5"/>
      <c r="J22" s="6">
        <f>IF([1]!Tabla1[[#This Row],[Etapa]]="OK",1,IF([1]!Tabla1[[#This Row],[Etapa]]="EN PROCESO",0,-1))</f>
        <v>-1</v>
      </c>
    </row>
    <row r="23" spans="1:10" ht="65.25" thickTop="1" thickBot="1" x14ac:dyDescent="0.3">
      <c r="A23" s="2" t="s">
        <v>78</v>
      </c>
      <c r="B23" s="3">
        <v>71</v>
      </c>
      <c r="C23" t="s">
        <v>79</v>
      </c>
      <c r="D23" t="s">
        <v>70</v>
      </c>
      <c r="E23" s="3" t="s">
        <v>18</v>
      </c>
      <c r="F23" s="3" t="s">
        <v>19</v>
      </c>
      <c r="G23" t="s">
        <v>34</v>
      </c>
      <c r="H23" s="10" t="str">
        <f>[1]!Tabla1[[#This Row],[Descripción]]</f>
        <v>Documentación de los servicios V1 (8)</v>
      </c>
      <c r="I23" s="5"/>
      <c r="J23" s="6">
        <f>IF([1]!Tabla1[[#This Row],[Etapa]]="OK",1,IF([1]!Tabla1[[#This Row],[Etapa]]="EN PROCESO",0,-1))</f>
        <v>-1</v>
      </c>
    </row>
    <row r="24" spans="1:10" ht="129" thickTop="1" thickBot="1" x14ac:dyDescent="0.3">
      <c r="A24" s="2" t="s">
        <v>80</v>
      </c>
      <c r="B24" s="3">
        <v>71</v>
      </c>
      <c r="C24" t="s">
        <v>81</v>
      </c>
      <c r="D24" t="s">
        <v>17</v>
      </c>
      <c r="E24" s="3" t="s">
        <v>82</v>
      </c>
      <c r="F24" s="3" t="s">
        <v>19</v>
      </c>
      <c r="G24" t="s">
        <v>63</v>
      </c>
      <c r="H24" s="13" t="str">
        <f>[1]!Tabla1[[#This Row],[Descripción]]</f>
        <v>Diagrama CMDB y Plan de Monitoreo para plan de monitoreo(8) DJ C00021607</v>
      </c>
      <c r="I24" s="5"/>
      <c r="J24" s="6">
        <f>IF([1]!Tabla1[[#This Row],[Etapa]]="OK",1,IF([1]!Tabla1[[#This Row],[Etapa]]="EN PROCESO",0,-1))</f>
        <v>-1</v>
      </c>
    </row>
    <row r="25" spans="1:10" ht="116.25" thickTop="1" thickBot="1" x14ac:dyDescent="0.3">
      <c r="A25" s="2" t="s">
        <v>83</v>
      </c>
      <c r="B25" s="3">
        <v>71</v>
      </c>
      <c r="C25" t="s">
        <v>84</v>
      </c>
      <c r="D25" t="s">
        <v>85</v>
      </c>
      <c r="E25" s="3" t="s">
        <v>24</v>
      </c>
      <c r="F25" s="3" t="s">
        <v>19</v>
      </c>
      <c r="G25" t="s">
        <v>71</v>
      </c>
      <c r="H25" s="7" t="str">
        <f>[1]!Tabla1[[#This Row],[Descripción]]</f>
        <v>P1.Plan de Monitoreo Billetera pichincha(8)(DJ) C00021611</v>
      </c>
      <c r="I25" s="5"/>
      <c r="J25" s="6">
        <f>IF([1]!Tabla1[[#This Row],[Etapa]]="OK",1,IF([1]!Tabla1[[#This Row],[Etapa]]="EN PROCESO",0,-1))</f>
        <v>-1</v>
      </c>
    </row>
    <row r="26" spans="1:10" ht="90.75" thickTop="1" thickBot="1" x14ac:dyDescent="0.3">
      <c r="A26" s="2" t="s">
        <v>86</v>
      </c>
      <c r="B26" s="3">
        <v>71</v>
      </c>
      <c r="C26" t="s">
        <v>87</v>
      </c>
      <c r="D26" t="s">
        <v>60</v>
      </c>
      <c r="E26" s="3" t="s">
        <v>32</v>
      </c>
      <c r="F26" s="3" t="s">
        <v>19</v>
      </c>
      <c r="G26" t="s">
        <v>34</v>
      </c>
      <c r="H26" s="9" t="str">
        <f>[1]!Tabla1[[#This Row],[Descripción]]</f>
        <v>Soporte- Documentación de plan de monitoreo(DJ)13 V1</v>
      </c>
      <c r="I26" s="5"/>
      <c r="J26" s="6">
        <f>IF([1]!Tabla1[[#This Row],[Etapa]]="OK",1,IF([1]!Tabla1[[#This Row],[Etapa]]="EN PROCESO",0,-1))</f>
        <v>-1</v>
      </c>
    </row>
    <row r="27" spans="1:10" ht="103.5" thickTop="1" thickBot="1" x14ac:dyDescent="0.3">
      <c r="A27" s="2" t="s">
        <v>88</v>
      </c>
      <c r="B27" s="3">
        <v>71</v>
      </c>
      <c r="C27" t="s">
        <v>89</v>
      </c>
      <c r="D27" t="s">
        <v>60</v>
      </c>
      <c r="E27" s="3" t="s">
        <v>82</v>
      </c>
      <c r="F27" s="3" t="s">
        <v>19</v>
      </c>
      <c r="G27" t="s">
        <v>63</v>
      </c>
      <c r="H27" s="13" t="str">
        <f>[1]!Tabla1[[#This Row],[Descripción]]</f>
        <v>Anclaje de cuenta a Tarjeta de débito (v2)KE (5) Celula Cuentas</v>
      </c>
      <c r="I27" s="5"/>
      <c r="J27" s="6">
        <f>IF([1]!Tabla1[[#This Row],[Etapa]]="OK",1,IF([1]!Tabla1[[#This Row],[Etapa]]="EN PROCESO",0,-1))</f>
        <v>-1</v>
      </c>
    </row>
    <row r="28" spans="1:10" ht="90.75" thickTop="1" thickBot="1" x14ac:dyDescent="0.3">
      <c r="A28" s="2" t="s">
        <v>90</v>
      </c>
      <c r="B28" s="3">
        <v>71</v>
      </c>
      <c r="C28" t="s">
        <v>91</v>
      </c>
      <c r="D28" t="s">
        <v>60</v>
      </c>
      <c r="E28" s="3" t="s">
        <v>82</v>
      </c>
      <c r="F28" s="3" t="s">
        <v>19</v>
      </c>
      <c r="G28" t="s">
        <v>63</v>
      </c>
      <c r="H28" s="13" t="str">
        <f>[1]!Tabla1[[#This Row],[Descripción]]</f>
        <v>Análisis de la implementación de Registro Civil BJ (1)</v>
      </c>
      <c r="I28" s="5"/>
      <c r="J28" s="6">
        <f>IF([1]!Tabla1[[#This Row],[Etapa]]="OK",1,IF([1]!Tabla1[[#This Row],[Etapa]]="EN PROCESO",0,-1))</f>
        <v>-1</v>
      </c>
    </row>
    <row r="29" spans="1:10" ht="90.75" thickTop="1" thickBot="1" x14ac:dyDescent="0.3">
      <c r="A29" s="2" t="s">
        <v>92</v>
      </c>
      <c r="B29" s="3">
        <v>71</v>
      </c>
      <c r="C29" t="s">
        <v>93</v>
      </c>
      <c r="D29" t="s">
        <v>94</v>
      </c>
      <c r="E29" s="3" t="s">
        <v>32</v>
      </c>
      <c r="F29" s="3" t="s">
        <v>19</v>
      </c>
      <c r="G29" t="s">
        <v>63</v>
      </c>
      <c r="H29" s="13" t="str">
        <f>[1]!Tabla1[[#This Row],[Descripción]]</f>
        <v>Modificar plantilla de sms - Pagos con billetera KE (5)</v>
      </c>
      <c r="I29" s="5"/>
      <c r="J29" s="6">
        <f>IF([1]!Tabla1[[#This Row],[Etapa]]="OK",1,IF([1]!Tabla1[[#This Row],[Etapa]]="EN PROCESO",0,-1))</f>
        <v>-1</v>
      </c>
    </row>
    <row r="30" spans="1:10" ht="78" thickTop="1" thickBot="1" x14ac:dyDescent="0.3">
      <c r="A30" s="2" t="s">
        <v>95</v>
      </c>
      <c r="B30" s="3">
        <v>71</v>
      </c>
      <c r="C30" t="s">
        <v>96</v>
      </c>
      <c r="D30" t="s">
        <v>23</v>
      </c>
      <c r="E30" s="3" t="s">
        <v>18</v>
      </c>
      <c r="F30" s="3" t="s">
        <v>19</v>
      </c>
      <c r="G30" t="s">
        <v>41</v>
      </c>
      <c r="H30" s="10" t="str">
        <f>[1]!Tabla1[[#This Row],[Descripción]]</f>
        <v>Servicio de Retenciones Judiciales (13) JP</v>
      </c>
      <c r="I30" s="5"/>
      <c r="J30" s="6">
        <f>IF([1]!Tabla1[[#This Row],[Etapa]]="OK",1,IF([1]!Tabla1[[#This Row],[Etapa]]="EN PROCESO",0,-1))</f>
        <v>-1</v>
      </c>
    </row>
    <row r="31" spans="1:10" ht="180" thickTop="1" thickBot="1" x14ac:dyDescent="0.3">
      <c r="A31" s="2" t="s">
        <v>97</v>
      </c>
      <c r="B31" s="3">
        <v>71</v>
      </c>
      <c r="C31" s="14" t="s">
        <v>98</v>
      </c>
      <c r="D31" t="s">
        <v>28</v>
      </c>
      <c r="E31" s="3" t="s">
        <v>32</v>
      </c>
      <c r="F31" s="3" t="s">
        <v>19</v>
      </c>
      <c r="G31" t="s">
        <v>63</v>
      </c>
      <c r="H31" s="9" t="str">
        <f>[1]!Tabla1[[#This Row],[Descripción]]</f>
        <v>Configuración ODM para retirar delay para transferencias entre cuentas propias (cualquier monto) (5) FJ</v>
      </c>
      <c r="I31" s="5"/>
      <c r="J31" s="6">
        <f>IF([1]!Tabla1[[#This Row],[Etapa]]="OK",1,IF([1]!Tabla1[[#This Row],[Etapa]]="EN PROCESO",0,-1))</f>
        <v>-1</v>
      </c>
    </row>
    <row r="32" spans="1:10" ht="116.25" thickTop="1" thickBot="1" x14ac:dyDescent="0.3">
      <c r="A32" s="2" t="s">
        <v>99</v>
      </c>
      <c r="B32" s="3">
        <v>71</v>
      </c>
      <c r="C32" t="s">
        <v>100</v>
      </c>
      <c r="D32" t="s">
        <v>60</v>
      </c>
      <c r="E32" s="3" t="s">
        <v>54</v>
      </c>
      <c r="F32" s="3" t="s">
        <v>33</v>
      </c>
      <c r="G32" t="s">
        <v>55</v>
      </c>
      <c r="H32" s="11" t="str">
        <f>[1]!Tabla1[[#This Row],[Descripción]]</f>
        <v>Consultar las tarjetas de credito del cliente(batch) FJ (8)</v>
      </c>
      <c r="I32" s="5"/>
      <c r="J32" s="6">
        <f>IF([1]!Tabla1[[#This Row],[Etapa]]="OK",1,IF([1]!Tabla1[[#This Row],[Etapa]]="EN PROCESO",0,-1))</f>
        <v>-1</v>
      </c>
    </row>
    <row r="33" spans="1:10" ht="116.25" thickTop="1" thickBot="1" x14ac:dyDescent="0.3">
      <c r="A33" s="2" t="s">
        <v>101</v>
      </c>
      <c r="B33" s="3">
        <v>71</v>
      </c>
      <c r="C33" t="s">
        <v>102</v>
      </c>
      <c r="D33" t="s">
        <v>28</v>
      </c>
      <c r="E33" s="3" t="s">
        <v>54</v>
      </c>
      <c r="F33" s="3" t="s">
        <v>33</v>
      </c>
      <c r="G33" t="s">
        <v>41</v>
      </c>
      <c r="H33" s="11" t="str">
        <f>[1]!Tabla1[[#This Row],[Descripción]]</f>
        <v>Enviar notificación PUSH a ordenante de transferencia (8) KE</v>
      </c>
      <c r="I33" s="5"/>
      <c r="J33" s="6">
        <f>IF([1]!Tabla1[[#This Row],[Etapa]]="OK",1,IF([1]!Tabla1[[#This Row],[Etapa]]="EN PROCESO",0,-1))</f>
        <v>-1</v>
      </c>
    </row>
    <row r="34" spans="1:10" ht="103.5" thickTop="1" thickBot="1" x14ac:dyDescent="0.3">
      <c r="A34" s="2" t="s">
        <v>103</v>
      </c>
      <c r="B34" s="3">
        <v>71</v>
      </c>
      <c r="C34" t="s">
        <v>104</v>
      </c>
      <c r="D34" t="s">
        <v>85</v>
      </c>
      <c r="E34" s="3" t="s">
        <v>24</v>
      </c>
      <c r="F34" s="3" t="s">
        <v>19</v>
      </c>
      <c r="G34" t="s">
        <v>25</v>
      </c>
      <c r="H34" s="7" t="str">
        <f>[1]!Tabla1[[#This Row],[Descripción]]</f>
        <v xml:space="preserve">Servicio de Retenciones Judiciales v2 JP - Pruebas BP </v>
      </c>
      <c r="I34" s="5"/>
      <c r="J34" s="6">
        <f>IF([1]!Tabla1[[#This Row],[Etapa]]="OK",1,IF([1]!Tabla1[[#This Row],[Etapa]]="EN PROCESO",0,-1))</f>
        <v>-1</v>
      </c>
    </row>
    <row r="35" spans="1:10" ht="52.5" thickTop="1" thickBot="1" x14ac:dyDescent="0.3">
      <c r="A35" s="2" t="s">
        <v>105</v>
      </c>
      <c r="B35" s="3">
        <v>71</v>
      </c>
      <c r="C35" t="s">
        <v>106</v>
      </c>
      <c r="D35" t="s">
        <v>85</v>
      </c>
      <c r="E35" s="3" t="s">
        <v>32</v>
      </c>
      <c r="F35" s="3" t="s">
        <v>33</v>
      </c>
      <c r="G35" t="s">
        <v>107</v>
      </c>
      <c r="H35" s="9" t="str">
        <f>[1]!Tabla1[[#This Row],[Descripción]]</f>
        <v>Consulta de fecha contable bancs KE</v>
      </c>
      <c r="I35" s="5"/>
      <c r="J35" s="6">
        <f>IF([1]!Tabla1[[#This Row],[Etapa]]="OK",1,IF([1]!Tabla1[[#This Row],[Etapa]]="EN PROCESO",0,-1))</f>
        <v>-1</v>
      </c>
    </row>
    <row r="36" spans="1:10" ht="65.25" thickTop="1" thickBot="1" x14ac:dyDescent="0.3">
      <c r="A36" s="2" t="s">
        <v>108</v>
      </c>
      <c r="B36" s="3">
        <v>71</v>
      </c>
      <c r="C36" t="s">
        <v>109</v>
      </c>
      <c r="D36" t="s">
        <v>28</v>
      </c>
      <c r="E36" s="3" t="s">
        <v>54</v>
      </c>
      <c r="F36" s="3" t="s">
        <v>19</v>
      </c>
      <c r="G36" t="s">
        <v>20</v>
      </c>
      <c r="H36" s="11" t="str">
        <f>[1]!Tabla1[[#This Row],[Descripción]]</f>
        <v>Configuración medio en Motor de Pagos FJ</v>
      </c>
      <c r="I36" s="5"/>
      <c r="J36" s="6">
        <f>IF([1]!Tabla1[[#This Row],[Etapa]]="OK",1,IF([1]!Tabla1[[#This Row],[Etapa]]="EN PROCESO",0,-1))</f>
        <v>-1</v>
      </c>
    </row>
    <row r="37" spans="1:10" ht="154.5" thickTop="1" thickBot="1" x14ac:dyDescent="0.3">
      <c r="A37" s="2" t="s">
        <v>110</v>
      </c>
      <c r="B37" s="3">
        <v>71</v>
      </c>
      <c r="C37" t="s">
        <v>111</v>
      </c>
      <c r="D37" t="s">
        <v>17</v>
      </c>
      <c r="E37" s="3" t="s">
        <v>54</v>
      </c>
      <c r="F37" s="3" t="s">
        <v>33</v>
      </c>
      <c r="G37" t="s">
        <v>55</v>
      </c>
      <c r="H37" s="15" t="str">
        <f>[1]!Tabla1[[#This Row],[Descripción]]</f>
        <v>Modificación de parametrizacion de montos menores a 600 USD hasta 300 USD en Base 2.0 JP</v>
      </c>
      <c r="I37" s="8"/>
      <c r="J37" s="6">
        <f>IF([1]!Tabla1[[#This Row],[Etapa]]="OK",1,IF([1]!Tabla1[[#This Row],[Etapa]]="EN PROCESO",0,-1))</f>
        <v>-1</v>
      </c>
    </row>
    <row r="38" spans="1:10" ht="141.75" thickTop="1" thickBot="1" x14ac:dyDescent="0.3">
      <c r="A38" s="2" t="s">
        <v>112</v>
      </c>
      <c r="B38" s="3">
        <v>71</v>
      </c>
      <c r="C38" t="s">
        <v>113</v>
      </c>
      <c r="D38" t="s">
        <v>17</v>
      </c>
      <c r="E38" s="3" t="s">
        <v>54</v>
      </c>
      <c r="F38" s="3" t="s">
        <v>19</v>
      </c>
      <c r="G38" t="s">
        <v>34</v>
      </c>
      <c r="H38" s="11" t="str">
        <f>[1]!Tabla1[[#This Row],[Descripción]]</f>
        <v>Incluir Centro de Costos en fuente de datos Notificador MSG JP Onboarding</v>
      </c>
      <c r="I38" s="5"/>
      <c r="J38" s="6">
        <f>IF([1]!Tabla1[[#This Row],[Etapa]]="OK",1,IF([1]!Tabla1[[#This Row],[Etapa]]="EN PROCESO",0,-1))</f>
        <v>-1</v>
      </c>
    </row>
    <row r="39" spans="1:10" ht="167.25" thickTop="1" thickBot="1" x14ac:dyDescent="0.3">
      <c r="A39" s="2" t="s">
        <v>114</v>
      </c>
      <c r="B39" s="3">
        <v>71</v>
      </c>
      <c r="C39" t="s">
        <v>115</v>
      </c>
      <c r="D39" t="s">
        <v>17</v>
      </c>
      <c r="E39" s="3" t="s">
        <v>54</v>
      </c>
      <c r="F39" s="3" t="s">
        <v>19</v>
      </c>
      <c r="G39" t="s">
        <v>20</v>
      </c>
      <c r="H39" s="15" t="str">
        <f>[1]!Tabla1[[#This Row],[Descripción]]</f>
        <v>Disponibilidad de servicios WSClientes0007 y ORQClientes0002 para nuevo requerimiento de Marketing Digital KE</v>
      </c>
      <c r="I39" s="5"/>
      <c r="J39" s="6">
        <f>IF([1]!Tabla1[[#This Row],[Etapa]]="OK",1,IF([1]!Tabla1[[#This Row],[Etapa]]="EN PROCESO",0,-1))</f>
        <v>-1</v>
      </c>
    </row>
    <row r="40" spans="1:10" ht="141.75" thickTop="1" thickBot="1" x14ac:dyDescent="0.3">
      <c r="A40" s="2" t="s">
        <v>116</v>
      </c>
      <c r="B40" s="3">
        <v>71</v>
      </c>
      <c r="C40" t="s">
        <v>117</v>
      </c>
      <c r="D40" t="s">
        <v>60</v>
      </c>
      <c r="E40" s="3" t="s">
        <v>54</v>
      </c>
      <c r="F40" s="3" t="s">
        <v>19</v>
      </c>
      <c r="G40" t="s">
        <v>44</v>
      </c>
      <c r="H40" s="11" t="str">
        <f>[1]!Tabla1[[#This Row],[Descripción]]</f>
        <v>Incluir Centro de Costos en fuente de datos Notificador MSG JP Credito en Linea</v>
      </c>
      <c r="I40" s="5"/>
      <c r="J40" s="6">
        <f>IF([1]!Tabla1[[#This Row],[Etapa]]="OK",1,IF([1]!Tabla1[[#This Row],[Etapa]]="EN PROCESO",0,-1))</f>
        <v>-1</v>
      </c>
    </row>
    <row r="41" spans="1:10" ht="52.5" thickTop="1" thickBot="1" x14ac:dyDescent="0.3">
      <c r="A41" s="16" t="s">
        <v>118</v>
      </c>
      <c r="B41" s="17">
        <v>72</v>
      </c>
      <c r="C41" s="18" t="s">
        <v>119</v>
      </c>
      <c r="D41" s="18" t="s">
        <v>120</v>
      </c>
      <c r="E41" s="17" t="s">
        <v>24</v>
      </c>
      <c r="F41" s="17" t="s">
        <v>19</v>
      </c>
      <c r="G41" s="18" t="s">
        <v>25</v>
      </c>
      <c r="H41" s="7" t="str">
        <f>[1]!Tabla1[[#This Row],[Descripción]]</f>
        <v>Recordar usuario con pin [KE (8)]</v>
      </c>
      <c r="I41" s="19"/>
      <c r="J41" s="6">
        <f>IF([1]!Tabla1[[#This Row],[Etapa]]="OK",1,IF([1]!Tabla1[[#This Row],[Etapa]]="EN PROCESO",0,-1))</f>
        <v>-1</v>
      </c>
    </row>
    <row r="42" spans="1:10" ht="78" thickTop="1" thickBot="1" x14ac:dyDescent="0.3">
      <c r="A42" s="20" t="s">
        <v>47</v>
      </c>
      <c r="B42" s="3">
        <v>72</v>
      </c>
      <c r="C42" s="21" t="s">
        <v>121</v>
      </c>
      <c r="D42" s="21" t="s">
        <v>28</v>
      </c>
      <c r="E42" s="3" t="s">
        <v>54</v>
      </c>
      <c r="F42" s="3" t="s">
        <v>19</v>
      </c>
      <c r="G42" s="21" t="s">
        <v>20</v>
      </c>
      <c r="H42" s="11" t="str">
        <f>[1]!Tabla1[[#This Row],[Descripción]]</f>
        <v>Servicio de Consulta de Tasa BCE [KE (8)]</v>
      </c>
      <c r="I42" s="22"/>
      <c r="J42" s="6">
        <f>IF([1]!Tabla1[[#This Row],[Etapa]]="OK",1,IF([1]!Tabla1[[#This Row],[Etapa]]="EN PROCESO",0,-1))</f>
        <v>-1</v>
      </c>
    </row>
    <row r="43" spans="1:10" ht="129" thickTop="1" thickBot="1" x14ac:dyDescent="0.3">
      <c r="A43" s="20" t="s">
        <v>122</v>
      </c>
      <c r="B43" s="3">
        <v>72</v>
      </c>
      <c r="C43" s="21" t="s">
        <v>123</v>
      </c>
      <c r="D43" s="21" t="s">
        <v>60</v>
      </c>
      <c r="E43" s="3" t="s">
        <v>18</v>
      </c>
      <c r="F43" s="3" t="s">
        <v>19</v>
      </c>
      <c r="G43" s="21" t="s">
        <v>44</v>
      </c>
      <c r="H43" s="10" t="str">
        <f>[1]!Tabla1[[#This Row],[Descripción]]</f>
        <v>Migrar plantillas de notificacion MSG al servicio notificador central [FJ (8)]</v>
      </c>
      <c r="I43" s="22"/>
      <c r="J43" s="6">
        <f>IF([1]!Tabla1[[#This Row],[Etapa]]="OK",1,IF([1]!Tabla1[[#This Row],[Etapa]]="EN PROCESO",0,-1))</f>
        <v>-1</v>
      </c>
    </row>
    <row r="44" spans="1:10" ht="90.75" thickTop="1" thickBot="1" x14ac:dyDescent="0.3">
      <c r="A44" s="20" t="s">
        <v>110</v>
      </c>
      <c r="B44" s="3">
        <v>72</v>
      </c>
      <c r="C44" s="21" t="s">
        <v>124</v>
      </c>
      <c r="D44" s="21" t="s">
        <v>17</v>
      </c>
      <c r="E44" s="3" t="s">
        <v>54</v>
      </c>
      <c r="F44" s="3" t="s">
        <v>33</v>
      </c>
      <c r="G44" s="21" t="s">
        <v>55</v>
      </c>
      <c r="H44" s="11" t="str">
        <f>[1]!Tabla1[[#This Row],[Descripción]]</f>
        <v>Consultar tarjetas de débito activas de un cliente [KE (5)]</v>
      </c>
      <c r="I44" s="22"/>
      <c r="J44" s="6">
        <f>IF([1]!Tabla1[[#This Row],[Etapa]]="OK",1,IF([1]!Tabla1[[#This Row],[Etapa]]="EN PROCESO",0,-1))</f>
        <v>-1</v>
      </c>
    </row>
    <row r="45" spans="1:10" ht="116.25" thickTop="1" thickBot="1" x14ac:dyDescent="0.3">
      <c r="A45" s="20" t="s">
        <v>26</v>
      </c>
      <c r="B45" s="3">
        <v>72</v>
      </c>
      <c r="C45" s="21" t="s">
        <v>27</v>
      </c>
      <c r="D45" s="21" t="s">
        <v>28</v>
      </c>
      <c r="E45" s="3" t="s">
        <v>24</v>
      </c>
      <c r="F45" s="3" t="s">
        <v>19</v>
      </c>
      <c r="G45" s="21" t="s">
        <v>25</v>
      </c>
      <c r="H45" s="7" t="str">
        <f>[1]!Tabla1[[#This Row],[Descripción]]</f>
        <v>Incluir centro de costos servicio Notificador Central v2 [JP (13)]</v>
      </c>
      <c r="I45" s="22"/>
      <c r="J45" s="6">
        <f>IF([1]!Tabla1[[#This Row],[Etapa]]="OK",1,IF([1]!Tabla1[[#This Row],[Etapa]]="EN PROCESO",0,-1))</f>
        <v>-1</v>
      </c>
    </row>
    <row r="46" spans="1:10" ht="180" thickTop="1" thickBot="1" x14ac:dyDescent="0.3">
      <c r="A46" s="20" t="s">
        <v>29</v>
      </c>
      <c r="B46" s="3">
        <v>72</v>
      </c>
      <c r="C46" s="21" t="s">
        <v>125</v>
      </c>
      <c r="D46" s="21" t="s">
        <v>31</v>
      </c>
      <c r="E46" s="3" t="s">
        <v>32</v>
      </c>
      <c r="F46" s="3" t="s">
        <v>33</v>
      </c>
      <c r="G46" s="21" t="s">
        <v>34</v>
      </c>
      <c r="H46" s="9" t="str">
        <f>[1]!Tabla1[[#This Row],[Descripción]]</f>
        <v>Modificación de parametrizacion de montos menores a 600 USD hasta 300 USD en Base 2.0 JP - Pruebas BP</v>
      </c>
      <c r="I46" s="22"/>
      <c r="J46" s="6">
        <f>IF([1]!Tabla1[[#This Row],[Etapa]]="OK",1,IF([1]!Tabla1[[#This Row],[Etapa]]="EN PROCESO",0,-1))</f>
        <v>1</v>
      </c>
    </row>
    <row r="47" spans="1:10" ht="141.75" thickTop="1" thickBot="1" x14ac:dyDescent="0.3">
      <c r="A47" s="20" t="s">
        <v>39</v>
      </c>
      <c r="B47" s="3">
        <v>72</v>
      </c>
      <c r="C47" s="21" t="s">
        <v>40</v>
      </c>
      <c r="D47" s="21" t="s">
        <v>23</v>
      </c>
      <c r="E47" s="3" t="s">
        <v>54</v>
      </c>
      <c r="F47" s="3" t="s">
        <v>33</v>
      </c>
      <c r="G47" s="21" t="s">
        <v>41</v>
      </c>
      <c r="H47" s="11" t="str">
        <f>[1]!Tabla1[[#This Row],[Descripción]]</f>
        <v>Incluir Centro de Costos y asociar plantilla en Notificador Central (13h) JP</v>
      </c>
      <c r="I47" s="22"/>
      <c r="J47" s="6">
        <f>IF([1]!Tabla1[[#This Row],[Etapa]]="OK",1,IF([1]!Tabla1[[#This Row],[Etapa]]="EN PROCESO",0,-1))</f>
        <v>-1</v>
      </c>
    </row>
    <row r="48" spans="1:10" ht="103.5" thickTop="1" thickBot="1" x14ac:dyDescent="0.3">
      <c r="A48" s="20" t="s">
        <v>95</v>
      </c>
      <c r="B48" s="3">
        <v>72</v>
      </c>
      <c r="C48" s="21" t="s">
        <v>96</v>
      </c>
      <c r="D48" s="21" t="s">
        <v>23</v>
      </c>
      <c r="E48" s="3" t="s">
        <v>54</v>
      </c>
      <c r="F48" s="3" t="s">
        <v>33</v>
      </c>
      <c r="G48" s="21" t="s">
        <v>41</v>
      </c>
      <c r="H48" s="11" t="str">
        <f>[1]!Tabla1[[#This Row],[Descripción]]</f>
        <v>Validación servicio de consulta de tarjetas y cupos (Issue)</v>
      </c>
      <c r="I48" s="22"/>
      <c r="J48" s="6">
        <f>IF([1]!Tabla1[[#This Row],[Etapa]]="OK",1,IF([1]!Tabla1[[#This Row],[Etapa]]="EN PROCESO",0,-1))</f>
        <v>-1</v>
      </c>
    </row>
    <row r="49" spans="1:10" ht="180" thickTop="1" thickBot="1" x14ac:dyDescent="0.3">
      <c r="A49" s="20" t="s">
        <v>112</v>
      </c>
      <c r="B49" s="3">
        <v>72</v>
      </c>
      <c r="C49" s="21" t="s">
        <v>113</v>
      </c>
      <c r="D49" s="21" t="s">
        <v>17</v>
      </c>
      <c r="E49" s="3" t="s">
        <v>32</v>
      </c>
      <c r="F49" s="3" t="s">
        <v>19</v>
      </c>
      <c r="G49" s="21" t="s">
        <v>34</v>
      </c>
      <c r="H49" s="9" t="str">
        <f>[1]!Tabla1[[#This Row],[Descripción]]</f>
        <v>Cambiar centro de costos para mensajes de onboard en el WSNotificadorOtp001 (Servicio Omnicanal)</v>
      </c>
      <c r="I49" s="22"/>
      <c r="J49" s="6">
        <f>IF([1]!Tabla1[[#This Row],[Etapa]]="OK",1,IF([1]!Tabla1[[#This Row],[Etapa]]="EN PROCESO",0,-1))</f>
        <v>-1</v>
      </c>
    </row>
    <row r="50" spans="1:10" ht="65.25" thickTop="1" thickBot="1" x14ac:dyDescent="0.3">
      <c r="A50" s="20" t="s">
        <v>35</v>
      </c>
      <c r="B50" s="3">
        <v>72</v>
      </c>
      <c r="C50" s="21" t="s">
        <v>126</v>
      </c>
      <c r="D50" s="21" t="s">
        <v>28</v>
      </c>
      <c r="E50" s="3" t="s">
        <v>18</v>
      </c>
      <c r="F50" s="3" t="s">
        <v>19</v>
      </c>
      <c r="G50" s="21" t="s">
        <v>41</v>
      </c>
      <c r="H50" s="10" t="str">
        <f>[1]!Tabla1[[#This Row],[Descripción]]</f>
        <v>Notificaciones SMS para No Clientes</v>
      </c>
      <c r="I50" s="22"/>
      <c r="J50" s="6">
        <f>IF([1]!Tabla1[[#This Row],[Etapa]]="OK",1,IF([1]!Tabla1[[#This Row],[Etapa]]="EN PROCESO",0,-1))</f>
        <v>-1</v>
      </c>
    </row>
    <row r="51" spans="1:10" ht="78" thickTop="1" thickBot="1" x14ac:dyDescent="0.3">
      <c r="A51" s="20" t="s">
        <v>108</v>
      </c>
      <c r="B51" s="3">
        <v>72</v>
      </c>
      <c r="C51" s="21" t="s">
        <v>109</v>
      </c>
      <c r="D51" s="21" t="s">
        <v>28</v>
      </c>
      <c r="E51" s="3" t="s">
        <v>32</v>
      </c>
      <c r="F51" s="3" t="s">
        <v>33</v>
      </c>
      <c r="G51" s="21" t="s">
        <v>34</v>
      </c>
      <c r="H51" s="9" t="str">
        <f>[1]!Tabla1[[#This Row],[Descripción]]</f>
        <v>Actualizar servicio de replica a riesgos WSTecnicos0128</v>
      </c>
      <c r="I51" s="22"/>
      <c r="J51" s="6">
        <f>IF([1]!Tabla1[[#This Row],[Etapa]]="OK",1,IF([1]!Tabla1[[#This Row],[Etapa]]="EN PROCESO",0,-1))</f>
        <v>-1</v>
      </c>
    </row>
    <row r="52" spans="1:10" ht="78" thickTop="1" thickBot="1" x14ac:dyDescent="0.3">
      <c r="A52" s="20" t="s">
        <v>127</v>
      </c>
      <c r="B52" s="3">
        <v>72</v>
      </c>
      <c r="C52" s="21" t="s">
        <v>128</v>
      </c>
      <c r="D52" s="21" t="s">
        <v>60</v>
      </c>
      <c r="E52" s="3" t="s">
        <v>54</v>
      </c>
      <c r="F52" s="3" t="s">
        <v>33</v>
      </c>
      <c r="G52" s="21" t="s">
        <v>129</v>
      </c>
      <c r="H52" s="11" t="str">
        <f>[1]!Tabla1[[#This Row],[Descripción]]</f>
        <v>TCS_04: Asignación y Cambio de Anclaje</v>
      </c>
      <c r="I52" s="22"/>
      <c r="J52" s="6">
        <f>IF([1]!Tabla1[[#This Row],[Etapa]]="OK",1,IF([1]!Tabla1[[#This Row],[Etapa]]="EN PROCESO",0,-1))</f>
        <v>-1</v>
      </c>
    </row>
    <row r="53" spans="1:10" ht="78" thickTop="1" thickBot="1" x14ac:dyDescent="0.3">
      <c r="A53" s="20" t="s">
        <v>99</v>
      </c>
      <c r="B53" s="3">
        <v>72</v>
      </c>
      <c r="C53" s="21" t="s">
        <v>100</v>
      </c>
      <c r="D53" s="21" t="s">
        <v>60</v>
      </c>
      <c r="E53" s="3" t="s">
        <v>32</v>
      </c>
      <c r="F53" s="3" t="s">
        <v>19</v>
      </c>
      <c r="G53" s="21" t="s">
        <v>34</v>
      </c>
      <c r="H53" s="9" t="str">
        <f>[1]!Tabla1[[#This Row],[Descripción]]</f>
        <v>TCS_03: Referencias Personales del Cliente</v>
      </c>
      <c r="I53" s="22"/>
      <c r="J53" s="6">
        <f>IF([1]!Tabla1[[#This Row],[Etapa]]="OK",1,IF([1]!Tabla1[[#This Row],[Etapa]]="EN PROCESO",0,-1))</f>
        <v>-1</v>
      </c>
    </row>
    <row r="54" spans="1:10" ht="243.75" thickTop="1" thickBot="1" x14ac:dyDescent="0.3">
      <c r="A54" s="20" t="s">
        <v>49</v>
      </c>
      <c r="B54" s="3">
        <v>72</v>
      </c>
      <c r="C54" s="21" t="s">
        <v>50</v>
      </c>
      <c r="D54" s="21" t="s">
        <v>28</v>
      </c>
      <c r="E54" s="3" t="s">
        <v>18</v>
      </c>
      <c r="F54" s="3" t="s">
        <v>19</v>
      </c>
      <c r="G54" s="21" t="s">
        <v>20</v>
      </c>
      <c r="H54" s="10" t="str">
        <f>[1]!Tabla1[[#This Row],[Descripción]]</f>
        <v>Creación de plantillas email para en envío de notificaciones en el caso de que el cliente modifique los cupos en la Billetera Pichincha - Producción</v>
      </c>
      <c r="I54" s="22"/>
      <c r="J54" s="6">
        <f>IF([1]!Tabla1[[#This Row],[Etapa]]="OK",1,IF([1]!Tabla1[[#This Row],[Etapa]]="EN PROCESO",0,-1))</f>
        <v>-1</v>
      </c>
    </row>
    <row r="55" spans="1:10" ht="129" thickTop="1" thickBot="1" x14ac:dyDescent="0.3">
      <c r="A55" s="20" t="s">
        <v>72</v>
      </c>
      <c r="B55" s="3">
        <v>72</v>
      </c>
      <c r="C55" s="21" t="s">
        <v>73</v>
      </c>
      <c r="D55" s="21" t="s">
        <v>17</v>
      </c>
      <c r="E55" s="3" t="s">
        <v>32</v>
      </c>
      <c r="F55" s="3" t="s">
        <v>19</v>
      </c>
      <c r="G55" s="21" t="s">
        <v>34</v>
      </c>
      <c r="H55" s="9" t="str">
        <f>[1]!Tabla1[[#This Row],[Descripción]]</f>
        <v>Enviar notificación PUSH a ordenante de transferencia - Producción</v>
      </c>
      <c r="I55" s="22"/>
      <c r="J55" s="6">
        <f>IF([1]!Tabla1[[#This Row],[Etapa]]="OK",1,IF([1]!Tabla1[[#This Row],[Etapa]]="EN PROCESO",0,-1))</f>
        <v>-1</v>
      </c>
    </row>
    <row r="56" spans="1:10" ht="141.75" thickTop="1" thickBot="1" x14ac:dyDescent="0.3">
      <c r="A56" s="20" t="s">
        <v>56</v>
      </c>
      <c r="B56" s="3">
        <v>72</v>
      </c>
      <c r="C56" s="21" t="s">
        <v>130</v>
      </c>
      <c r="D56" s="21" t="s">
        <v>28</v>
      </c>
      <c r="E56" s="3" t="s">
        <v>18</v>
      </c>
      <c r="F56" s="3" t="s">
        <v>19</v>
      </c>
      <c r="G56" s="21" t="s">
        <v>20</v>
      </c>
      <c r="H56" s="10" t="str">
        <f>[1]!Tabla1[[#This Row],[Descripción]]</f>
        <v>Notificacion por email y sms en caso de re-enrolamiento Billetera - Producción</v>
      </c>
      <c r="I56" s="22"/>
      <c r="J56" s="6">
        <f>IF([1]!Tabla1[[#This Row],[Etapa]]="OK",1,IF([1]!Tabla1[[#This Row],[Etapa]]="EN PROCESO",0,-1))</f>
        <v>-1</v>
      </c>
    </row>
    <row r="57" spans="1:10" ht="218.25" thickTop="1" thickBot="1" x14ac:dyDescent="0.3">
      <c r="A57" s="20" t="s">
        <v>74</v>
      </c>
      <c r="B57" s="3">
        <v>72</v>
      </c>
      <c r="C57" s="21" t="s">
        <v>131</v>
      </c>
      <c r="D57" s="21" t="s">
        <v>17</v>
      </c>
      <c r="E57" s="3" t="s">
        <v>32</v>
      </c>
      <c r="F57" s="3" t="s">
        <v>33</v>
      </c>
      <c r="G57" s="21" t="s">
        <v>34</v>
      </c>
      <c r="H57" s="9" t="str">
        <f>[1]!Tabla1[[#This Row],[Descripción]]</f>
        <v>Disponibilidad de servicios WSClientes0007 y ORQClientes0002 para nuevo requerimiento de Marketing Digital Produccion - Producción</v>
      </c>
      <c r="I57" s="22"/>
      <c r="J57" s="6">
        <f>IF([1]!Tabla1[[#This Row],[Etapa]]="OK",1,IF([1]!Tabla1[[#This Row],[Etapa]]="EN PROCESO",0,-1))</f>
        <v>-1</v>
      </c>
    </row>
    <row r="58" spans="1:10" ht="103.5" thickTop="1" thickBot="1" x14ac:dyDescent="0.3">
      <c r="A58" s="20" t="s">
        <v>76</v>
      </c>
      <c r="B58" s="3">
        <v>72</v>
      </c>
      <c r="C58" s="21" t="s">
        <v>77</v>
      </c>
      <c r="D58" s="21" t="s">
        <v>17</v>
      </c>
      <c r="E58" s="3" t="s">
        <v>32</v>
      </c>
      <c r="F58" s="3" t="s">
        <v>19</v>
      </c>
      <c r="G58" s="21" t="s">
        <v>34</v>
      </c>
      <c r="H58" s="9" t="str">
        <f>[1]!Tabla1[[#This Row],[Descripción]]</f>
        <v>Cambio notificación Autenticación por huella (Pendiente Script)</v>
      </c>
      <c r="I58" s="22"/>
      <c r="J58" s="6">
        <f>IF([1]!Tabla1[[#This Row],[Etapa]]="OK",1,IF([1]!Tabla1[[#This Row],[Etapa]]="EN PROCESO",0,-1))</f>
        <v>-1</v>
      </c>
    </row>
    <row r="59" spans="1:10" ht="90.75" thickTop="1" thickBot="1" x14ac:dyDescent="0.3">
      <c r="A59" s="20" t="s">
        <v>83</v>
      </c>
      <c r="B59" s="3">
        <v>72</v>
      </c>
      <c r="C59" s="21" t="s">
        <v>84</v>
      </c>
      <c r="D59" s="21" t="s">
        <v>85</v>
      </c>
      <c r="E59" s="3" t="s">
        <v>18</v>
      </c>
      <c r="F59" s="3" t="s">
        <v>19</v>
      </c>
      <c r="G59" s="21" t="s">
        <v>71</v>
      </c>
      <c r="H59" s="10" t="str">
        <f>[1]!Tabla1[[#This Row],[Descripción]]</f>
        <v>Gestión de Systech (Pagos directos, Pago servicios)</v>
      </c>
      <c r="I59" s="22"/>
      <c r="J59" s="6">
        <f>IF([1]!Tabla1[[#This Row],[Etapa]]="OK",1,IF([1]!Tabla1[[#This Row],[Etapa]]="EN PROCESO",0,-1))</f>
        <v>-1</v>
      </c>
    </row>
    <row r="60" spans="1:10" ht="90.75" thickTop="1" thickBot="1" x14ac:dyDescent="0.3">
      <c r="A60" s="20" t="s">
        <v>58</v>
      </c>
      <c r="B60" s="3">
        <v>72</v>
      </c>
      <c r="C60" s="21" t="s">
        <v>132</v>
      </c>
      <c r="D60" s="21" t="s">
        <v>60</v>
      </c>
      <c r="E60" s="3" t="s">
        <v>32</v>
      </c>
      <c r="F60" s="3" t="s">
        <v>19</v>
      </c>
      <c r="G60" s="21" t="s">
        <v>34</v>
      </c>
      <c r="H60" s="9" t="str">
        <f>[1]!Tabla1[[#This Row],[Descripción]]</f>
        <v>Actualización de contacto Transaccional en el ORQClientes0048</v>
      </c>
      <c r="I60" s="22"/>
      <c r="J60" s="6">
        <f>IF([1]!Tabla1[[#This Row],[Etapa]]="OK",1,IF([1]!Tabla1[[#This Row],[Etapa]]="EN PROCESO",0,-1))</f>
        <v>-1</v>
      </c>
    </row>
    <row r="61" spans="1:10" ht="78" thickTop="1" thickBot="1" x14ac:dyDescent="0.3">
      <c r="A61" s="20" t="s">
        <v>133</v>
      </c>
      <c r="B61" s="3">
        <v>72</v>
      </c>
      <c r="C61" s="21" t="s">
        <v>134</v>
      </c>
      <c r="D61" s="21" t="s">
        <v>17</v>
      </c>
      <c r="E61" s="3" t="s">
        <v>18</v>
      </c>
      <c r="F61" s="3" t="s">
        <v>19</v>
      </c>
      <c r="G61" s="21" t="s">
        <v>55</v>
      </c>
      <c r="H61" s="10" t="str">
        <f>[1]!Tabla1[[#This Row],[Descripción]]</f>
        <v>Consultar tarjetas de débito activas de un cliente</v>
      </c>
      <c r="I61" s="22"/>
      <c r="J61" s="6">
        <f>IF([1]!Tabla1[[#This Row],[Etapa]]="OK",1,IF([1]!Tabla1[[#This Row],[Etapa]]="EN PROCESO",0,-1))</f>
        <v>-1</v>
      </c>
    </row>
    <row r="62" spans="1:10" ht="103.5" thickTop="1" thickBot="1" x14ac:dyDescent="0.3">
      <c r="A62" s="20" t="s">
        <v>101</v>
      </c>
      <c r="B62" s="3">
        <v>72</v>
      </c>
      <c r="C62" s="21" t="s">
        <v>102</v>
      </c>
      <c r="D62" s="21" t="s">
        <v>28</v>
      </c>
      <c r="E62" s="3" t="s">
        <v>18</v>
      </c>
      <c r="F62" s="3" t="s">
        <v>19</v>
      </c>
      <c r="G62" s="21" t="s">
        <v>41</v>
      </c>
      <c r="H62" s="10" t="str">
        <f>[1]!Tabla1[[#This Row],[Descripción]]</f>
        <v xml:space="preserve">Servicio de Retenciones Judiciales v2 JP - Pruebas BP </v>
      </c>
      <c r="I62" s="22"/>
      <c r="J62" s="6">
        <f>IF([1]!Tabla1[[#This Row],[Etapa]]="OK",1,IF([1]!Tabla1[[#This Row],[Etapa]]="EN PROCESO",0,-1))</f>
        <v>-1</v>
      </c>
    </row>
    <row r="63" spans="1:10" ht="167.25" thickTop="1" thickBot="1" x14ac:dyDescent="0.3">
      <c r="A63" s="20" t="s">
        <v>135</v>
      </c>
      <c r="B63" s="3">
        <v>72</v>
      </c>
      <c r="C63" s="21" t="s">
        <v>136</v>
      </c>
      <c r="D63" s="21" t="s">
        <v>137</v>
      </c>
      <c r="E63" s="3" t="s">
        <v>32</v>
      </c>
      <c r="F63" s="3" t="s">
        <v>33</v>
      </c>
      <c r="G63" s="21" t="s">
        <v>34</v>
      </c>
      <c r="H63" s="9" t="str">
        <f>[1]!Tabla1[[#This Row],[Descripción]]</f>
        <v>Incluir Centro de Costos en fuente de datos Notificador MSG JP Onboarding - Pruebas BP</v>
      </c>
      <c r="I63" s="22"/>
      <c r="J63" s="6">
        <f>IF([1]!Tabla1[[#This Row],[Etapa]]="OK",1,IF([1]!Tabla1[[#This Row],[Etapa]]="EN PROCESO",0,-1))</f>
        <v>-1</v>
      </c>
    </row>
    <row r="64" spans="1:10" ht="141.75" thickTop="1" thickBot="1" x14ac:dyDescent="0.3">
      <c r="A64" s="20" t="s">
        <v>103</v>
      </c>
      <c r="B64" s="3">
        <v>72</v>
      </c>
      <c r="C64" s="21" t="s">
        <v>104</v>
      </c>
      <c r="D64" s="21" t="s">
        <v>85</v>
      </c>
      <c r="E64" s="3" t="s">
        <v>18</v>
      </c>
      <c r="F64" s="3" t="s">
        <v>19</v>
      </c>
      <c r="G64" s="21" t="s">
        <v>55</v>
      </c>
      <c r="H64" s="10" t="str">
        <f>[1]!Tabla1[[#This Row],[Descripción]]</f>
        <v>Incluir Centro de Costos en fuente de datos Notificador MSG JP Credito en Linea</v>
      </c>
      <c r="I64" s="22"/>
      <c r="J64" s="6">
        <f>IF([1]!Tabla1[[#This Row],[Etapa]]="OK",1,IF([1]!Tabla1[[#This Row],[Etapa]]="EN PROCESO",0,-1))</f>
        <v>-1</v>
      </c>
    </row>
    <row r="65" spans="1:10" ht="129" thickTop="1" thickBot="1" x14ac:dyDescent="0.3">
      <c r="A65" s="20" t="s">
        <v>42</v>
      </c>
      <c r="B65" s="3">
        <v>72</v>
      </c>
      <c r="C65" s="21" t="s">
        <v>138</v>
      </c>
      <c r="D65" s="21" t="s">
        <v>17</v>
      </c>
      <c r="E65" s="3" t="s">
        <v>32</v>
      </c>
      <c r="F65" s="3" t="s">
        <v>19</v>
      </c>
      <c r="G65" s="21" t="s">
        <v>34</v>
      </c>
      <c r="H65" s="9" t="str">
        <f>[1]!Tabla1[[#This Row],[Descripción]]</f>
        <v>Migrar plantillas de notificacion MSG al servicio notificador central [FJ (8)]</v>
      </c>
      <c r="I65" s="22"/>
      <c r="J65" s="6">
        <f>IF([1]!Tabla1[[#This Row],[Etapa]]="OK",1,IF([1]!Tabla1[[#This Row],[Etapa]]="EN PROCESO",0,-1))</f>
        <v>-1</v>
      </c>
    </row>
    <row r="66" spans="1:10" ht="116.25" thickTop="1" thickBot="1" x14ac:dyDescent="0.3">
      <c r="A66" s="20" t="s">
        <v>64</v>
      </c>
      <c r="B66" s="3">
        <v>72</v>
      </c>
      <c r="C66" s="21" t="s">
        <v>139</v>
      </c>
      <c r="D66" s="21" t="s">
        <v>17</v>
      </c>
      <c r="E66" s="3" t="s">
        <v>54</v>
      </c>
      <c r="F66" s="3" t="s">
        <v>33</v>
      </c>
      <c r="G66" s="21" t="s">
        <v>55</v>
      </c>
      <c r="H66" s="11" t="str">
        <f>[1]!Tabla1[[#This Row],[Descripción]]</f>
        <v>Incluir centro de costos servicio Notificador Central v2 [JP (13)]</v>
      </c>
      <c r="I66" s="22"/>
      <c r="J66" s="6">
        <f>IF([1]!Tabla1[[#This Row],[Etapa]]="OK",1,IF([1]!Tabla1[[#This Row],[Etapa]]="EN PROCESO",0,-1))</f>
        <v>-1</v>
      </c>
    </row>
    <row r="67" spans="1:10" ht="141.75" thickTop="1" thickBot="1" x14ac:dyDescent="0.3">
      <c r="A67" s="20" t="s">
        <v>140</v>
      </c>
      <c r="B67" s="3">
        <v>72</v>
      </c>
      <c r="C67" s="21" t="s">
        <v>141</v>
      </c>
      <c r="D67" s="21" t="s">
        <v>31</v>
      </c>
      <c r="E67" s="3" t="s">
        <v>24</v>
      </c>
      <c r="F67" s="3" t="s">
        <v>19</v>
      </c>
      <c r="G67" s="21" t="s">
        <v>25</v>
      </c>
      <c r="H67" s="7" t="str">
        <f>[1]!Tabla1[[#This Row],[Descripción]]</f>
        <v>Incluir Centro de Costos y asociar plantilla en Notificador Central (13h) JP</v>
      </c>
      <c r="I67" s="22"/>
      <c r="J67" s="6">
        <f>IF([1]!Tabla1[[#This Row],[Etapa]]="OK",1,IF([1]!Tabla1[[#This Row],[Etapa]]="EN PROCESO",0,-1))</f>
        <v>-1</v>
      </c>
    </row>
    <row r="68" spans="1:10" ht="90.75" thickTop="1" thickBot="1" x14ac:dyDescent="0.3">
      <c r="A68" s="20" t="s">
        <v>142</v>
      </c>
      <c r="B68" s="3">
        <v>72</v>
      </c>
      <c r="C68" s="21" t="s">
        <v>143</v>
      </c>
      <c r="D68" s="21" t="s">
        <v>85</v>
      </c>
      <c r="E68" s="3" t="s">
        <v>54</v>
      </c>
      <c r="F68" s="3" t="s">
        <v>19</v>
      </c>
      <c r="G68" s="21" t="s">
        <v>44</v>
      </c>
      <c r="H68" s="10" t="str">
        <f>[1]!Tabla1[[#This Row],[Descripción]]</f>
        <v>2. Configuración ODM notificaciones App(JP)(13)</v>
      </c>
      <c r="I68" s="22"/>
      <c r="J68" s="6">
        <f>IF([1]!Tabla1[[#This Row],[Etapa]]="OK",1,IF([1]!Tabla1[[#This Row],[Etapa]]="EN PROCESO",0,-1))</f>
        <v>-1</v>
      </c>
    </row>
    <row r="69" spans="1:10" ht="141.75" thickTop="1" thickBot="1" x14ac:dyDescent="0.3">
      <c r="A69" s="20" t="s">
        <v>144</v>
      </c>
      <c r="B69" s="3">
        <v>72</v>
      </c>
      <c r="C69" s="21" t="s">
        <v>145</v>
      </c>
      <c r="D69" s="21" t="s">
        <v>23</v>
      </c>
      <c r="E69" s="3" t="s">
        <v>54</v>
      </c>
      <c r="F69" s="3" t="s">
        <v>19</v>
      </c>
      <c r="G69" s="21" t="s">
        <v>44</v>
      </c>
      <c r="H69" s="10" t="str">
        <f>[1]!Tabla1[[#This Row],[Descripción]]</f>
        <v>Acceso a servicio de envío de mails para realizar notificaciones del app - Pruebas BP</v>
      </c>
      <c r="I69" s="22"/>
      <c r="J69" s="6">
        <f>IF([1]!Tabla1[[#This Row],[Etapa]]="OK",1,IF([1]!Tabla1[[#This Row],[Etapa]]="EN PROCESO",0,-1))</f>
        <v>-1</v>
      </c>
    </row>
    <row r="70" spans="1:10" ht="103.5" thickTop="1" thickBot="1" x14ac:dyDescent="0.3">
      <c r="A70" s="20" t="s">
        <v>146</v>
      </c>
      <c r="B70" s="3">
        <v>72</v>
      </c>
      <c r="C70" s="21" t="s">
        <v>147</v>
      </c>
      <c r="D70" s="21" t="s">
        <v>120</v>
      </c>
      <c r="E70" s="3" t="s">
        <v>24</v>
      </c>
      <c r="F70" s="3" t="s">
        <v>19</v>
      </c>
      <c r="G70" s="21" t="s">
        <v>25</v>
      </c>
      <c r="H70" s="7" t="str">
        <f>[1]!Tabla1[[#This Row],[Descripción]]</f>
        <v>Servicio de Retenciones Judiciales (13) KE - Pruebas BP OK</v>
      </c>
      <c r="I70" s="22"/>
      <c r="J70" s="6">
        <f>IF([1]!Tabla1[[#This Row],[Etapa]]="OK",1,IF([1]!Tabla1[[#This Row],[Etapa]]="EN PROCESO",0,-1))</f>
        <v>-1</v>
      </c>
    </row>
    <row r="71" spans="1:10" ht="90.75" thickTop="1" thickBot="1" x14ac:dyDescent="0.3">
      <c r="A71" s="20" t="s">
        <v>148</v>
      </c>
      <c r="B71" s="3">
        <v>72</v>
      </c>
      <c r="C71" s="21" t="s">
        <v>149</v>
      </c>
      <c r="D71" s="21" t="s">
        <v>120</v>
      </c>
      <c r="E71" s="3" t="s">
        <v>18</v>
      </c>
      <c r="F71" s="3" t="s">
        <v>19</v>
      </c>
      <c r="G71" s="21" t="s">
        <v>44</v>
      </c>
      <c r="H71" s="10" t="str">
        <f>[1]!Tabla1[[#This Row],[Descripción]]</f>
        <v>Servicio de Consulta de Tasa BCE  - Pruebas BP OK</v>
      </c>
      <c r="I71" s="22"/>
      <c r="J71" s="6">
        <f>IF([1]!Tabla1[[#This Row],[Etapa]]="OK",1,IF([1]!Tabla1[[#This Row],[Etapa]]="EN PROCESO",0,-1))</f>
        <v>-1</v>
      </c>
    </row>
    <row r="72" spans="1:10" ht="141.75" thickTop="1" thickBot="1" x14ac:dyDescent="0.3">
      <c r="A72" s="20" t="s">
        <v>150</v>
      </c>
      <c r="B72" s="3">
        <v>72</v>
      </c>
      <c r="C72" s="21" t="s">
        <v>151</v>
      </c>
      <c r="D72" s="21" t="s">
        <v>28</v>
      </c>
      <c r="E72" s="3" t="s">
        <v>82</v>
      </c>
      <c r="F72" s="3" t="s">
        <v>19</v>
      </c>
      <c r="G72" s="21" t="s">
        <v>63</v>
      </c>
      <c r="H72" s="13" t="str">
        <f>[1]!Tabla1[[#This Row],[Descripción]]</f>
        <v>Publicar nueva versión de plantilla NBM_Plantilla_Email_Login_BloqueoPIN - Pruebas BP - APP</v>
      </c>
      <c r="I72" s="22"/>
      <c r="J72" s="6">
        <f>IF([1]!Tabla1[[#This Row],[Etapa]]="OK",1,IF([1]!Tabla1[[#This Row],[Etapa]]="EN PROCESO",0,-1))</f>
        <v>-1</v>
      </c>
    </row>
    <row r="73" spans="1:10" ht="141.75" thickTop="1" thickBot="1" x14ac:dyDescent="0.3">
      <c r="A73" s="20" t="s">
        <v>152</v>
      </c>
      <c r="B73" s="3">
        <v>72</v>
      </c>
      <c r="C73" s="21" t="s">
        <v>153</v>
      </c>
      <c r="D73" s="21" t="s">
        <v>60</v>
      </c>
      <c r="E73" s="3" t="s">
        <v>82</v>
      </c>
      <c r="F73" s="3" t="s">
        <v>19</v>
      </c>
      <c r="G73" s="21" t="s">
        <v>63</v>
      </c>
      <c r="H73" s="13" t="str">
        <f>[1]!Tabla1[[#This Row],[Descripción]]</f>
        <v>NBM_Plantilla_Email_Login_BloqueoPIN, y Bloqueo de usuario y clave - Pruebas BP - APP</v>
      </c>
      <c r="I73" s="22"/>
      <c r="J73" s="6">
        <f>IF([1]!Tabla1[[#This Row],[Etapa]]="OK",1,IF([1]!Tabla1[[#This Row],[Etapa]]="EN PROCESO",0,-1))</f>
        <v>-1</v>
      </c>
    </row>
    <row r="74" spans="1:10" ht="154.5" thickTop="1" thickBot="1" x14ac:dyDescent="0.3">
      <c r="A74" s="20" t="s">
        <v>154</v>
      </c>
      <c r="B74" s="3">
        <v>72</v>
      </c>
      <c r="C74" s="21" t="s">
        <v>155</v>
      </c>
      <c r="D74" s="21" t="s">
        <v>60</v>
      </c>
      <c r="E74" s="3" t="s">
        <v>82</v>
      </c>
      <c r="F74" s="3" t="s">
        <v>19</v>
      </c>
      <c r="G74" s="21" t="s">
        <v>63</v>
      </c>
      <c r="H74" s="13" t="str">
        <f>[1]!Tabla1[[#This Row],[Descripción]]</f>
        <v>Mejoras homologación de errores capa media Banca Web y App - DESARROLLO - APP</v>
      </c>
      <c r="I74" s="22"/>
      <c r="J74" s="6">
        <f>IF([1]!Tabla1[[#This Row],[Etapa]]="OK",1,IF([1]!Tabla1[[#This Row],[Etapa]]="EN PROCESO",0,-1))</f>
        <v>-1</v>
      </c>
    </row>
    <row r="75" spans="1:10" ht="180" thickTop="1" thickBot="1" x14ac:dyDescent="0.3">
      <c r="A75" s="3"/>
      <c r="B75" s="3">
        <v>72</v>
      </c>
      <c r="C75" s="23" t="s">
        <v>156</v>
      </c>
      <c r="D75" t="s">
        <v>94</v>
      </c>
      <c r="E75" s="3" t="s">
        <v>32</v>
      </c>
      <c r="F75" s="3" t="s">
        <v>19</v>
      </c>
      <c r="G75" s="21" t="s">
        <v>34</v>
      </c>
      <c r="H75" s="9" t="str">
        <f>[1]!Tabla1[[#This Row],[Descripción]]</f>
        <v>Issue Produccion - Servicio ORQClientes0002 - mail enmascarado incorrecto - Pruebas BP - WALLET</v>
      </c>
      <c r="I75" s="22"/>
      <c r="J75" s="6">
        <f>IF([1]!Tabla1[[#This Row],[Etapa]]="OK",1,IF([1]!Tabla1[[#This Row],[Etapa]]="EN PROCESO",0,-1))</f>
        <v>-1</v>
      </c>
    </row>
    <row r="76" spans="1:10" ht="90.75" thickTop="1" thickBot="1" x14ac:dyDescent="0.3">
      <c r="A76" s="3"/>
      <c r="B76" s="3">
        <v>72</v>
      </c>
      <c r="C76" s="3" t="s">
        <v>157</v>
      </c>
      <c r="D76" t="s">
        <v>94</v>
      </c>
      <c r="E76" s="3" t="s">
        <v>32</v>
      </c>
      <c r="F76" s="3" t="s">
        <v>33</v>
      </c>
      <c r="G76" s="21" t="s">
        <v>34</v>
      </c>
      <c r="H76" s="9" t="str">
        <f>[1]!Tabla1[[#This Row],[Descripción]]</f>
        <v>Consulta tarjetas de débito - PRODUCCIÓN - CUENTAS</v>
      </c>
      <c r="I76" s="22"/>
      <c r="J76" s="6">
        <f>IF([1]!Tabla1[[#This Row],[Etapa]]="OK",1,IF([1]!Tabla1[[#This Row],[Etapa]]="EN PROCESO",0,-1))</f>
        <v>-1</v>
      </c>
    </row>
    <row r="77" spans="1:10" ht="103.5" thickTop="1" thickBot="1" x14ac:dyDescent="0.3">
      <c r="A77" s="2" t="s">
        <v>61</v>
      </c>
      <c r="B77" s="3">
        <v>72</v>
      </c>
      <c r="C77" t="s">
        <v>62</v>
      </c>
      <c r="D77" t="s">
        <v>28</v>
      </c>
      <c r="E77" s="3" t="s">
        <v>32</v>
      </c>
      <c r="F77" s="3" t="s">
        <v>19</v>
      </c>
      <c r="G77" t="s">
        <v>63</v>
      </c>
      <c r="H77" s="9" t="str">
        <f>[1]!Tabla1[[#This Row],[Descripción]]</f>
        <v xml:space="preserve">Soporte issue envío Notificaciónes - PRODUCCIÓN - APP </v>
      </c>
      <c r="I77" s="5"/>
      <c r="J77" s="6">
        <f>IF([1]!Tabla1[[#This Row],[Etapa]]="OK",1,IF([1]!Tabla1[[#This Row],[Etapa]]="EN PROCESO",0,-1))</f>
        <v>-1</v>
      </c>
    </row>
    <row r="78" spans="1:10" ht="66" thickTop="1" thickBot="1" x14ac:dyDescent="0.3">
      <c r="A78" s="20" t="s">
        <v>158</v>
      </c>
      <c r="B78" s="3">
        <v>73</v>
      </c>
      <c r="C78" s="21" t="s">
        <v>159</v>
      </c>
      <c r="D78" s="24" t="s">
        <v>160</v>
      </c>
      <c r="E78" s="3" t="s">
        <v>24</v>
      </c>
      <c r="F78" s="3" t="s">
        <v>19</v>
      </c>
      <c r="G78" s="21" t="s">
        <v>25</v>
      </c>
      <c r="H78" s="25" t="s">
        <v>159</v>
      </c>
      <c r="I78" s="22"/>
      <c r="J78" s="26">
        <f>IF([1]!Tabla1[[#This Row],[Etapa]]="OK",1,IF([1]!Tabla1[[#This Row],[Etapa]]="EN PROCESO",0,-1))</f>
        <v>-1</v>
      </c>
    </row>
    <row r="79" spans="1:10" ht="142.5" thickTop="1" thickBot="1" x14ac:dyDescent="0.3">
      <c r="A79" s="20" t="s">
        <v>161</v>
      </c>
      <c r="B79" s="3">
        <v>73</v>
      </c>
      <c r="C79" s="21" t="s">
        <v>162</v>
      </c>
      <c r="D79" t="s">
        <v>85</v>
      </c>
      <c r="E79" s="3" t="s">
        <v>32</v>
      </c>
      <c r="F79" s="3" t="s">
        <v>33</v>
      </c>
      <c r="G79" s="21" t="s">
        <v>63</v>
      </c>
      <c r="H79" s="27" t="s">
        <v>162</v>
      </c>
      <c r="I79" s="22"/>
      <c r="J79" s="26">
        <f>IF([1]!Tabla1[[#This Row],[Etapa]]="OK",1,IF([1]!Tabla1[[#This Row],[Etapa]]="EN PROCESO",0,-1))</f>
        <v>-1</v>
      </c>
    </row>
    <row r="80" spans="1:10" ht="78.75" thickTop="1" thickBot="1" x14ac:dyDescent="0.3">
      <c r="A80" s="20" t="s">
        <v>154</v>
      </c>
      <c r="B80" s="3">
        <v>73</v>
      </c>
      <c r="C80" s="21" t="s">
        <v>155</v>
      </c>
      <c r="D80" s="23" t="s">
        <v>60</v>
      </c>
      <c r="E80" s="3" t="s">
        <v>32</v>
      </c>
      <c r="F80" s="3" t="s">
        <v>19</v>
      </c>
      <c r="G80" s="21" t="s">
        <v>63</v>
      </c>
      <c r="H80" s="27" t="s">
        <v>155</v>
      </c>
      <c r="I80" s="22"/>
      <c r="J80" s="26">
        <f>IF([1]!Tabla1[[#This Row],[Etapa]]="OK",1,IF([1]!Tabla1[[#This Row],[Etapa]]="EN PROCESO",0,-1))</f>
        <v>-1</v>
      </c>
    </row>
    <row r="81" spans="1:10" ht="104.25" thickTop="1" thickBot="1" x14ac:dyDescent="0.3">
      <c r="A81" s="20" t="s">
        <v>163</v>
      </c>
      <c r="B81" s="3">
        <v>73</v>
      </c>
      <c r="C81" s="21" t="s">
        <v>164</v>
      </c>
      <c r="D81" s="23" t="s">
        <v>60</v>
      </c>
      <c r="E81" s="3" t="s">
        <v>18</v>
      </c>
      <c r="F81" s="3" t="s">
        <v>19</v>
      </c>
      <c r="G81" s="21" t="s">
        <v>44</v>
      </c>
      <c r="H81" s="28" t="s">
        <v>164</v>
      </c>
      <c r="I81" s="22"/>
      <c r="J81" s="26">
        <f>IF([1]!Tabla1[[#This Row],[Etapa]]="OK",1,IF([1]!Tabla1[[#This Row],[Etapa]]="EN PROCESO",0,-1))</f>
        <v>-1</v>
      </c>
    </row>
    <row r="82" spans="1:10" ht="40.5" thickTop="1" thickBot="1" x14ac:dyDescent="0.3">
      <c r="A82" s="20" t="s">
        <v>152</v>
      </c>
      <c r="B82" s="3">
        <v>73</v>
      </c>
      <c r="C82" s="21" t="s">
        <v>153</v>
      </c>
      <c r="D82" s="23" t="s">
        <v>60</v>
      </c>
      <c r="E82" s="3" t="s">
        <v>32</v>
      </c>
      <c r="F82" s="3" t="s">
        <v>19</v>
      </c>
      <c r="G82" s="21" t="s">
        <v>63</v>
      </c>
      <c r="H82" s="27" t="s">
        <v>153</v>
      </c>
      <c r="I82" s="22"/>
      <c r="J82" s="26">
        <f>IF([1]!Tabla1[[#This Row],[Etapa]]="OK",1,IF([1]!Tabla1[[#This Row],[Etapa]]="EN PROCESO",0,-1))</f>
        <v>-1</v>
      </c>
    </row>
    <row r="83" spans="1:10" ht="78.75" thickTop="1" thickBot="1" x14ac:dyDescent="0.3">
      <c r="A83" s="20" t="s">
        <v>150</v>
      </c>
      <c r="B83" s="3">
        <v>73</v>
      </c>
      <c r="C83" s="21" t="s">
        <v>151</v>
      </c>
      <c r="D83" t="s">
        <v>28</v>
      </c>
      <c r="E83" s="3" t="s">
        <v>32</v>
      </c>
      <c r="F83" s="3" t="s">
        <v>19</v>
      </c>
      <c r="G83" s="21" t="s">
        <v>63</v>
      </c>
      <c r="H83" s="27" t="s">
        <v>151</v>
      </c>
      <c r="I83" s="22"/>
      <c r="J83" s="26">
        <f>IF([1]!Tabla1[[#This Row],[Etapa]]="OK",1,IF([1]!Tabla1[[#This Row],[Etapa]]="EN PROCESO",0,-1))</f>
        <v>-1</v>
      </c>
    </row>
    <row r="84" spans="1:10" ht="168" thickTop="1" thickBot="1" x14ac:dyDescent="0.3">
      <c r="A84" s="20" t="s">
        <v>148</v>
      </c>
      <c r="B84" s="3">
        <v>73</v>
      </c>
      <c r="C84" s="21" t="s">
        <v>165</v>
      </c>
      <c r="D84" s="24" t="s">
        <v>166</v>
      </c>
      <c r="E84" s="3" t="s">
        <v>54</v>
      </c>
      <c r="F84" s="3" t="s">
        <v>19</v>
      </c>
      <c r="G84" s="21" t="s">
        <v>167</v>
      </c>
      <c r="H84" s="29" t="s">
        <v>165</v>
      </c>
      <c r="I84" s="22"/>
      <c r="J84" s="26">
        <f>IF([1]!Tabla1[[#This Row],[Etapa]]="OK",1,IF([1]!Tabla1[[#This Row],[Etapa]]="EN PROCESO",0,-1))</f>
        <v>-1</v>
      </c>
    </row>
    <row r="85" spans="1:10" ht="66" thickTop="1" thickBot="1" x14ac:dyDescent="0.3">
      <c r="A85" s="20" t="s">
        <v>146</v>
      </c>
      <c r="B85" s="3">
        <v>73</v>
      </c>
      <c r="C85" s="21" t="s">
        <v>147</v>
      </c>
      <c r="D85" s="24" t="s">
        <v>166</v>
      </c>
      <c r="E85" s="3" t="s">
        <v>18</v>
      </c>
      <c r="F85" s="3" t="s">
        <v>19</v>
      </c>
      <c r="G85" s="21" t="s">
        <v>20</v>
      </c>
      <c r="H85" s="28" t="s">
        <v>147</v>
      </c>
      <c r="I85" s="22"/>
      <c r="J85" s="26">
        <f>IF([1]!Tabla1[[#This Row],[Etapa]]="OK",1,IF([1]!Tabla1[[#This Row],[Etapa]]="EN PROCESO",0,-1))</f>
        <v>-1</v>
      </c>
    </row>
    <row r="86" spans="1:10" ht="129.75" thickTop="1" thickBot="1" x14ac:dyDescent="0.3">
      <c r="A86" s="20" t="s">
        <v>168</v>
      </c>
      <c r="B86" s="3">
        <v>73</v>
      </c>
      <c r="C86" s="21" t="s">
        <v>169</v>
      </c>
      <c r="D86" s="24" t="s">
        <v>170</v>
      </c>
      <c r="E86" s="3" t="s">
        <v>24</v>
      </c>
      <c r="F86" s="3" t="s">
        <v>19</v>
      </c>
      <c r="G86" s="21" t="s">
        <v>25</v>
      </c>
      <c r="H86" s="25" t="s">
        <v>169</v>
      </c>
      <c r="I86" s="22"/>
      <c r="J86" s="26">
        <f>IF([1]!Tabla1[[#This Row],[Etapa]]="OK",1,IF([1]!Tabla1[[#This Row],[Etapa]]="EN PROCESO",0,-1))</f>
        <v>-1</v>
      </c>
    </row>
    <row r="87" spans="1:10" ht="129.75" thickTop="1" thickBot="1" x14ac:dyDescent="0.3">
      <c r="A87" s="20" t="s">
        <v>142</v>
      </c>
      <c r="B87" s="3">
        <v>73</v>
      </c>
      <c r="C87" s="21" t="s">
        <v>171</v>
      </c>
      <c r="D87" s="24" t="s">
        <v>85</v>
      </c>
      <c r="E87" s="3" t="s">
        <v>54</v>
      </c>
      <c r="F87" s="3" t="s">
        <v>19</v>
      </c>
      <c r="G87" s="21" t="s">
        <v>167</v>
      </c>
      <c r="H87" s="29" t="s">
        <v>171</v>
      </c>
      <c r="I87" s="22"/>
      <c r="J87" s="26">
        <f>IF([1]!Tabla1[[#This Row],[Etapa]]="OK",1,IF([1]!Tabla1[[#This Row],[Etapa]]="EN PROCESO",0,-1))</f>
        <v>-1</v>
      </c>
    </row>
    <row r="88" spans="1:10" ht="117" thickTop="1" thickBot="1" x14ac:dyDescent="0.3">
      <c r="A88" s="20" t="s">
        <v>172</v>
      </c>
      <c r="B88" s="3">
        <v>73</v>
      </c>
      <c r="C88" s="21" t="s">
        <v>173</v>
      </c>
      <c r="D88" s="23" t="s">
        <v>60</v>
      </c>
      <c r="E88" s="3" t="s">
        <v>24</v>
      </c>
      <c r="F88" s="3" t="s">
        <v>19</v>
      </c>
      <c r="G88" s="21" t="s">
        <v>25</v>
      </c>
      <c r="H88" s="25" t="s">
        <v>173</v>
      </c>
      <c r="I88" s="22"/>
      <c r="J88" s="26">
        <f>IF([1]!Tabla1[[#This Row],[Etapa]]="OK",1,IF([1]!Tabla1[[#This Row],[Etapa]]="EN PROCESO",0,-1))</f>
        <v>-1</v>
      </c>
    </row>
    <row r="89" spans="1:10" ht="104.25" thickTop="1" thickBot="1" x14ac:dyDescent="0.3">
      <c r="A89" s="20" t="s">
        <v>144</v>
      </c>
      <c r="B89" s="3">
        <v>73</v>
      </c>
      <c r="C89" s="21" t="s">
        <v>174</v>
      </c>
      <c r="D89" s="24" t="s">
        <v>170</v>
      </c>
      <c r="E89" s="3" t="s">
        <v>32</v>
      </c>
      <c r="F89" s="3" t="s">
        <v>33</v>
      </c>
      <c r="G89" s="21" t="s">
        <v>34</v>
      </c>
      <c r="H89" s="27" t="s">
        <v>174</v>
      </c>
      <c r="I89" s="22"/>
      <c r="J89" s="26">
        <f>IF([1]!Tabla1[[#This Row],[Etapa]]="OK",1,IF([1]!Tabla1[[#This Row],[Etapa]]="EN PROCESO",0,-1))</f>
        <v>-1</v>
      </c>
    </row>
    <row r="90" spans="1:10" ht="66" thickTop="1" thickBot="1" x14ac:dyDescent="0.3">
      <c r="A90" s="20" t="s">
        <v>103</v>
      </c>
      <c r="B90" s="3">
        <v>73</v>
      </c>
      <c r="C90" s="21" t="s">
        <v>104</v>
      </c>
      <c r="D90" t="s">
        <v>85</v>
      </c>
      <c r="E90" s="3" t="s">
        <v>54</v>
      </c>
      <c r="F90" s="3" t="s">
        <v>33</v>
      </c>
      <c r="G90" s="21" t="s">
        <v>55</v>
      </c>
      <c r="H90" s="29" t="s">
        <v>104</v>
      </c>
      <c r="I90" s="22"/>
      <c r="J90" s="26">
        <f>IF([1]!Tabla1[[#This Row],[Etapa]]="OK",1,IF([1]!Tabla1[[#This Row],[Etapa]]="EN PROCESO",0,-1))</f>
        <v>-1</v>
      </c>
    </row>
    <row r="91" spans="1:10" ht="91.5" thickTop="1" thickBot="1" x14ac:dyDescent="0.3">
      <c r="A91" s="20" t="s">
        <v>64</v>
      </c>
      <c r="B91" s="3">
        <v>73</v>
      </c>
      <c r="C91" s="21" t="s">
        <v>175</v>
      </c>
      <c r="D91" s="21" t="s">
        <v>17</v>
      </c>
      <c r="E91" s="3" t="s">
        <v>54</v>
      </c>
      <c r="F91" s="3" t="s">
        <v>19</v>
      </c>
      <c r="G91" s="21" t="s">
        <v>55</v>
      </c>
      <c r="H91" s="29" t="s">
        <v>175</v>
      </c>
      <c r="I91" s="22"/>
      <c r="J91" s="26">
        <f>IF([1]!Tabla1[[#This Row],[Etapa]]="OK",1,IF([1]!Tabla1[[#This Row],[Etapa]]="EN PROCESO",0,-1))</f>
        <v>-1</v>
      </c>
    </row>
    <row r="92" spans="1:10" ht="104.25" thickTop="1" thickBot="1" x14ac:dyDescent="0.3">
      <c r="A92" s="20" t="s">
        <v>45</v>
      </c>
      <c r="B92" s="3">
        <v>73</v>
      </c>
      <c r="C92" s="21" t="s">
        <v>46</v>
      </c>
      <c r="D92" s="24" t="s">
        <v>28</v>
      </c>
      <c r="E92" s="3" t="s">
        <v>24</v>
      </c>
      <c r="F92" s="3" t="s">
        <v>19</v>
      </c>
      <c r="G92" s="21" t="s">
        <v>25</v>
      </c>
      <c r="H92" s="25" t="s">
        <v>46</v>
      </c>
      <c r="I92" s="22"/>
      <c r="J92" s="26">
        <f>IF([1]!Tabla1[[#This Row],[Etapa]]="OK",1,IF([1]!Tabla1[[#This Row],[Etapa]]="EN PROCESO",0,-1))</f>
        <v>-1</v>
      </c>
    </row>
    <row r="93" spans="1:10" ht="78.75" thickTop="1" thickBot="1" x14ac:dyDescent="0.3">
      <c r="A93" s="20" t="s">
        <v>83</v>
      </c>
      <c r="B93" s="3">
        <v>73</v>
      </c>
      <c r="C93" s="21" t="s">
        <v>84</v>
      </c>
      <c r="D93" s="21" t="s">
        <v>85</v>
      </c>
      <c r="E93" s="3" t="s">
        <v>18</v>
      </c>
      <c r="F93" s="3" t="s">
        <v>19</v>
      </c>
      <c r="G93" s="21" t="s">
        <v>71</v>
      </c>
      <c r="H93" s="28" t="s">
        <v>84</v>
      </c>
      <c r="I93" s="22"/>
      <c r="J93" s="26">
        <f>IF([1]!Tabla1[[#This Row],[Etapa]]="OK",1,IF([1]!Tabla1[[#This Row],[Etapa]]="EN PROCESO",0,-1))</f>
        <v>-1</v>
      </c>
    </row>
    <row r="94" spans="1:10" ht="117" thickTop="1" thickBot="1" x14ac:dyDescent="0.3">
      <c r="A94" s="20" t="s">
        <v>122</v>
      </c>
      <c r="B94" s="3">
        <v>73</v>
      </c>
      <c r="C94" s="21" t="s">
        <v>123</v>
      </c>
      <c r="D94" s="23" t="s">
        <v>60</v>
      </c>
      <c r="E94" s="3" t="s">
        <v>18</v>
      </c>
      <c r="F94" s="3" t="s">
        <v>19</v>
      </c>
      <c r="G94" s="21" t="s">
        <v>44</v>
      </c>
      <c r="H94" s="28" t="s">
        <v>123</v>
      </c>
      <c r="I94" s="22"/>
      <c r="J94" s="26">
        <f>IF([1]!Tabla1[[#This Row],[Etapa]]="OK",1,IF([1]!Tabla1[[#This Row],[Etapa]]="EN PROCESO",0,-1))</f>
        <v>-1</v>
      </c>
    </row>
    <row r="95" spans="1:10" ht="61.5" thickTop="1" thickBot="1" x14ac:dyDescent="0.3">
      <c r="A95" s="20" t="s">
        <v>95</v>
      </c>
      <c r="B95" s="3">
        <v>73</v>
      </c>
      <c r="C95" s="21" t="s">
        <v>96</v>
      </c>
      <c r="D95" s="24" t="s">
        <v>170</v>
      </c>
      <c r="E95" s="3" t="s">
        <v>54</v>
      </c>
      <c r="F95" s="3" t="s">
        <v>33</v>
      </c>
      <c r="G95" s="21" t="s">
        <v>41</v>
      </c>
      <c r="H95" s="29" t="s">
        <v>96</v>
      </c>
      <c r="I95" s="22"/>
      <c r="J95" s="26">
        <f>IF([1]!Tabla1[[#This Row],[Etapa]]="OK",1,IF([1]!Tabla1[[#This Row],[Etapa]]="EN PROCESO",0,-1))</f>
        <v>-1</v>
      </c>
    </row>
    <row r="96" spans="1:10" ht="61.5" thickTop="1" thickBot="1" x14ac:dyDescent="0.3">
      <c r="A96" s="20" t="s">
        <v>118</v>
      </c>
      <c r="B96" s="3">
        <v>73</v>
      </c>
      <c r="C96" s="21" t="s">
        <v>119</v>
      </c>
      <c r="D96" s="24" t="s">
        <v>166</v>
      </c>
      <c r="E96" s="3" t="s">
        <v>18</v>
      </c>
      <c r="F96" s="3" t="s">
        <v>19</v>
      </c>
      <c r="G96" s="21" t="s">
        <v>41</v>
      </c>
      <c r="H96" s="28" t="s">
        <v>119</v>
      </c>
      <c r="I96" s="22"/>
      <c r="J96" s="26">
        <f>IF([1]!Tabla1[[#This Row],[Etapa]]="OK",1,IF([1]!Tabla1[[#This Row],[Etapa]]="EN PROCESO",0,-1))</f>
        <v>-1</v>
      </c>
    </row>
    <row r="97" spans="1:10" ht="104.25" thickTop="1" thickBot="1" x14ac:dyDescent="0.3">
      <c r="A97" s="20" t="s">
        <v>133</v>
      </c>
      <c r="B97" s="3">
        <v>73</v>
      </c>
      <c r="C97" s="21" t="s">
        <v>176</v>
      </c>
      <c r="D97" s="21" t="s">
        <v>17</v>
      </c>
      <c r="E97" s="3" t="s">
        <v>54</v>
      </c>
      <c r="F97" s="3" t="s">
        <v>33</v>
      </c>
      <c r="G97" s="21" t="s">
        <v>55</v>
      </c>
      <c r="H97" s="29" t="s">
        <v>134</v>
      </c>
      <c r="I97" s="22"/>
      <c r="J97" s="26">
        <f>IF([1]!Tabla1[[#This Row],[Etapa]]="OK",1,IF([1]!Tabla1[[#This Row],[Etapa]]="EN PROCESO",0,-1))</f>
        <v>-1</v>
      </c>
    </row>
    <row r="98" spans="1:10" ht="78.75" thickTop="1" thickBot="1" x14ac:dyDescent="0.3">
      <c r="A98" s="20" t="s">
        <v>74</v>
      </c>
      <c r="B98" s="3">
        <v>73</v>
      </c>
      <c r="C98" s="21" t="s">
        <v>75</v>
      </c>
      <c r="D98" s="24" t="s">
        <v>17</v>
      </c>
      <c r="E98" s="3" t="s">
        <v>32</v>
      </c>
      <c r="F98" s="3" t="s">
        <v>33</v>
      </c>
      <c r="G98" s="21" t="s">
        <v>34</v>
      </c>
      <c r="H98" s="27" t="s">
        <v>75</v>
      </c>
      <c r="I98" s="22"/>
      <c r="J98" s="26">
        <f>IF([1]!Tabla1[[#This Row],[Etapa]]="OK",1,IF([1]!Tabla1[[#This Row],[Etapa]]="EN PROCESO",0,-1))</f>
        <v>-1</v>
      </c>
    </row>
    <row r="99" spans="1:10" ht="117" thickTop="1" thickBot="1" x14ac:dyDescent="0.3">
      <c r="A99" s="20" t="s">
        <v>56</v>
      </c>
      <c r="B99" s="3">
        <v>73</v>
      </c>
      <c r="C99" s="21" t="s">
        <v>130</v>
      </c>
      <c r="D99" s="24" t="s">
        <v>28</v>
      </c>
      <c r="E99" s="3" t="s">
        <v>54</v>
      </c>
      <c r="F99" s="3" t="s">
        <v>33</v>
      </c>
      <c r="G99" s="21" t="s">
        <v>20</v>
      </c>
      <c r="H99" s="29" t="s">
        <v>130</v>
      </c>
      <c r="I99" s="22"/>
      <c r="J99" s="26">
        <f>IF([1]!Tabla1[[#This Row],[Etapa]]="OK",1,IF([1]!Tabla1[[#This Row],[Etapa]]="EN PROCESO",0,-1))</f>
        <v>-1</v>
      </c>
    </row>
    <row r="100" spans="1:10" ht="78.75" thickTop="1" thickBot="1" x14ac:dyDescent="0.3">
      <c r="A100" s="20" t="s">
        <v>47</v>
      </c>
      <c r="B100" s="3">
        <v>73</v>
      </c>
      <c r="C100" s="21" t="s">
        <v>177</v>
      </c>
      <c r="D100" s="24" t="s">
        <v>28</v>
      </c>
      <c r="E100" s="3" t="s">
        <v>54</v>
      </c>
      <c r="F100" s="3" t="s">
        <v>33</v>
      </c>
      <c r="G100" s="21" t="s">
        <v>20</v>
      </c>
      <c r="H100" s="29" t="s">
        <v>177</v>
      </c>
      <c r="I100" s="22"/>
      <c r="J100" s="26">
        <f>IF([1]!Tabla1[[#This Row],[Etapa]]="OK",1,IF([1]!Tabla1[[#This Row],[Etapa]]="EN PROCESO",0,-1))</f>
        <v>-1</v>
      </c>
    </row>
    <row r="101" spans="1:10" ht="66" thickTop="1" thickBot="1" x14ac:dyDescent="0.3">
      <c r="A101" s="20" t="s">
        <v>78</v>
      </c>
      <c r="B101" s="3">
        <v>73</v>
      </c>
      <c r="C101" s="21" t="s">
        <v>178</v>
      </c>
      <c r="D101" s="24" t="s">
        <v>179</v>
      </c>
      <c r="E101" s="3" t="s">
        <v>54</v>
      </c>
      <c r="F101" s="3" t="s">
        <v>19</v>
      </c>
      <c r="G101" s="21" t="s">
        <v>34</v>
      </c>
      <c r="H101" s="29" t="s">
        <v>178</v>
      </c>
      <c r="I101" s="22"/>
      <c r="J101" s="26">
        <f>IF([1]!Tabla1[[#This Row],[Etapa]]="OK",1,IF([1]!Tabla1[[#This Row],[Etapa]]="EN PROCESO",0,-1))</f>
        <v>-1</v>
      </c>
    </row>
    <row r="102" spans="1:10" ht="61.5" thickTop="1" thickBot="1" x14ac:dyDescent="0.3">
      <c r="A102" s="20" t="s">
        <v>39</v>
      </c>
      <c r="B102" s="3">
        <v>73</v>
      </c>
      <c r="C102" s="21" t="s">
        <v>180</v>
      </c>
      <c r="D102" s="24" t="s">
        <v>170</v>
      </c>
      <c r="E102" s="3" t="s">
        <v>54</v>
      </c>
      <c r="F102" s="3" t="s">
        <v>33</v>
      </c>
      <c r="G102" s="21" t="s">
        <v>41</v>
      </c>
      <c r="H102" s="29" t="s">
        <v>180</v>
      </c>
      <c r="I102" s="22"/>
      <c r="J102" s="26">
        <f>IF([1]!Tabla1[[#This Row],[Etapa]]="OK",1,IF([1]!Tabla1[[#This Row],[Etapa]]="EN PROCESO",0,-1))</f>
        <v>-1</v>
      </c>
    </row>
    <row r="103" spans="1:10" ht="129.75" thickTop="1" thickBot="1" x14ac:dyDescent="0.3">
      <c r="A103" s="20" t="s">
        <v>110</v>
      </c>
      <c r="B103" s="3">
        <v>73</v>
      </c>
      <c r="C103" s="21" t="s">
        <v>181</v>
      </c>
      <c r="D103" s="24" t="s">
        <v>17</v>
      </c>
      <c r="E103" s="3" t="s">
        <v>54</v>
      </c>
      <c r="F103" s="3" t="s">
        <v>33</v>
      </c>
      <c r="G103" s="21" t="s">
        <v>55</v>
      </c>
      <c r="H103" s="29" t="s">
        <v>181</v>
      </c>
      <c r="I103" s="22"/>
      <c r="J103" s="26">
        <f>IF([1]!Tabla1[[#This Row],[Etapa]]="OK",1,IF([1]!Tabla1[[#This Row],[Etapa]]="EN PROCESO",0,-1))</f>
        <v>-1</v>
      </c>
    </row>
    <row r="104" spans="1:10" ht="78.75" thickTop="1" thickBot="1" x14ac:dyDescent="0.3">
      <c r="A104" s="20" t="s">
        <v>51</v>
      </c>
      <c r="B104" s="3">
        <v>73</v>
      </c>
      <c r="C104" s="21" t="s">
        <v>52</v>
      </c>
      <c r="D104" s="24" t="s">
        <v>166</v>
      </c>
      <c r="E104" s="3" t="s">
        <v>54</v>
      </c>
      <c r="F104" s="3" t="s">
        <v>182</v>
      </c>
      <c r="G104" s="21" t="s">
        <v>55</v>
      </c>
      <c r="H104" s="29" t="s">
        <v>52</v>
      </c>
      <c r="I104" s="22"/>
      <c r="J104" s="26">
        <f>IF([1]!Tabla1[[#This Row],[Etapa]]="OK",1,IF([1]!Tabla1[[#This Row],[Etapa]]="EN PROCESO",0,-1))</f>
        <v>-1</v>
      </c>
    </row>
    <row r="105" spans="1:10" ht="66" thickTop="1" thickBot="1" x14ac:dyDescent="0.3">
      <c r="A105" s="20" t="s">
        <v>101</v>
      </c>
      <c r="B105" s="3">
        <v>73</v>
      </c>
      <c r="C105" s="21" t="s">
        <v>102</v>
      </c>
      <c r="D105" s="24" t="s">
        <v>28</v>
      </c>
      <c r="E105" s="3" t="s">
        <v>18</v>
      </c>
      <c r="F105" s="3" t="s">
        <v>19</v>
      </c>
      <c r="G105" s="21" t="s">
        <v>41</v>
      </c>
      <c r="H105" s="28" t="s">
        <v>102</v>
      </c>
      <c r="I105" s="22"/>
      <c r="J105" s="26">
        <f>IF([1]!Tabla1[[#This Row],[Etapa]]="OK",1,IF([1]!Tabla1[[#This Row],[Etapa]]="EN PROCESO",0,-1))</f>
        <v>-1</v>
      </c>
    </row>
    <row r="106" spans="1:10" ht="78.75" thickTop="1" thickBot="1" x14ac:dyDescent="0.3">
      <c r="A106" s="20" t="s">
        <v>49</v>
      </c>
      <c r="B106" s="3">
        <v>73</v>
      </c>
      <c r="C106" s="21" t="s">
        <v>50</v>
      </c>
      <c r="D106" s="24" t="s">
        <v>28</v>
      </c>
      <c r="E106" s="3" t="s">
        <v>54</v>
      </c>
      <c r="F106" s="3" t="s">
        <v>19</v>
      </c>
      <c r="G106" s="21" t="s">
        <v>20</v>
      </c>
      <c r="H106" s="29" t="s">
        <v>50</v>
      </c>
      <c r="I106" s="22"/>
      <c r="J106" s="26">
        <f>IF([1]!Tabla1[[#This Row],[Etapa]]="OK",1,IF([1]!Tabla1[[#This Row],[Etapa]]="EN PROCESO",0,-1))</f>
        <v>-1</v>
      </c>
    </row>
    <row r="107" spans="1:10" ht="78.75" thickTop="1" thickBot="1" x14ac:dyDescent="0.3">
      <c r="A107" s="20" t="s">
        <v>35</v>
      </c>
      <c r="B107" s="3">
        <v>73</v>
      </c>
      <c r="C107" s="21" t="s">
        <v>126</v>
      </c>
      <c r="D107" s="24" t="s">
        <v>28</v>
      </c>
      <c r="E107" s="3" t="s">
        <v>18</v>
      </c>
      <c r="F107" s="3" t="s">
        <v>19</v>
      </c>
      <c r="G107" s="21" t="s">
        <v>41</v>
      </c>
      <c r="H107" s="28" t="s">
        <v>126</v>
      </c>
      <c r="I107" s="22"/>
      <c r="J107" s="26">
        <f>IF([1]!Tabla1[[#This Row],[Etapa]]="OK",1,IF([1]!Tabla1[[#This Row],[Etapa]]="EN PROCESO",0,-1))</f>
        <v>-1</v>
      </c>
    </row>
    <row r="108" spans="1:10" ht="78.75" thickTop="1" thickBot="1" x14ac:dyDescent="0.3">
      <c r="A108" s="20" t="s">
        <v>66</v>
      </c>
      <c r="B108" s="3">
        <v>73</v>
      </c>
      <c r="C108" s="21" t="s">
        <v>183</v>
      </c>
      <c r="D108" s="24" t="s">
        <v>28</v>
      </c>
      <c r="E108" s="3" t="s">
        <v>32</v>
      </c>
      <c r="F108" s="3" t="s">
        <v>33</v>
      </c>
      <c r="G108" s="21" t="s">
        <v>63</v>
      </c>
      <c r="H108" s="27" t="s">
        <v>183</v>
      </c>
      <c r="I108" s="22"/>
      <c r="J108" s="26">
        <f>IF([1]!Tabla1[[#This Row],[Etapa]]="OK",1,IF([1]!Tabla1[[#This Row],[Etapa]]="EN PROCESO",0,-1))</f>
        <v>-1</v>
      </c>
    </row>
    <row r="109" spans="1:10" ht="104.25" thickTop="1" thickBot="1" x14ac:dyDescent="0.3">
      <c r="A109" s="20" t="s">
        <v>184</v>
      </c>
      <c r="B109" s="3">
        <v>73</v>
      </c>
      <c r="C109" s="21" t="s">
        <v>185</v>
      </c>
      <c r="D109" s="24" t="s">
        <v>28</v>
      </c>
      <c r="E109" s="3" t="s">
        <v>54</v>
      </c>
      <c r="F109" s="3" t="s">
        <v>33</v>
      </c>
      <c r="G109" s="21" t="s">
        <v>41</v>
      </c>
      <c r="H109" s="29" t="s">
        <v>185</v>
      </c>
      <c r="I109" s="22"/>
      <c r="J109" s="26">
        <f>IF([1]!Tabla1[[#This Row],[Etapa]]="OK",1,IF([1]!Tabla1[[#This Row],[Etapa]]="EN PROCESO",0,-1))</f>
        <v>-1</v>
      </c>
    </row>
    <row r="110" spans="1:10" ht="66" thickTop="1" thickBot="1" x14ac:dyDescent="0.3">
      <c r="A110" s="20" t="s">
        <v>135</v>
      </c>
      <c r="B110" s="3">
        <v>73</v>
      </c>
      <c r="C110" s="21" t="s">
        <v>186</v>
      </c>
      <c r="D110" s="24" t="s">
        <v>187</v>
      </c>
      <c r="E110" s="3" t="s">
        <v>32</v>
      </c>
      <c r="F110" s="3" t="s">
        <v>19</v>
      </c>
      <c r="G110" s="21" t="s">
        <v>34</v>
      </c>
      <c r="H110" s="27" t="s">
        <v>186</v>
      </c>
      <c r="I110" s="22"/>
      <c r="J110" s="26">
        <f>IF([1]!Tabla1[[#This Row],[Etapa]]="OK",1,IF([1]!Tabla1[[#This Row],[Etapa]]="EN PROCESO",0,-1))</f>
        <v>-1</v>
      </c>
    </row>
    <row r="111" spans="1:10" ht="78.75" thickTop="1" thickBot="1" x14ac:dyDescent="0.3">
      <c r="A111" s="20" t="s">
        <v>127</v>
      </c>
      <c r="B111" s="3">
        <v>73</v>
      </c>
      <c r="C111" s="21" t="s">
        <v>128</v>
      </c>
      <c r="D111" s="23" t="s">
        <v>60</v>
      </c>
      <c r="E111" s="3" t="s">
        <v>54</v>
      </c>
      <c r="F111" s="3" t="s">
        <v>33</v>
      </c>
      <c r="G111" s="21" t="s">
        <v>20</v>
      </c>
      <c r="H111" s="29" t="s">
        <v>128</v>
      </c>
      <c r="I111" s="22"/>
      <c r="J111" s="26">
        <f>IF([1]!Tabla1[[#This Row],[Etapa]]="OK",1,IF([1]!Tabla1[[#This Row],[Etapa]]="EN PROCESO",0,-1))</f>
        <v>-1</v>
      </c>
    </row>
    <row r="112" spans="1:10" ht="53.25" thickTop="1" thickBot="1" x14ac:dyDescent="0.3">
      <c r="A112" s="20" t="s">
        <v>108</v>
      </c>
      <c r="B112" s="3">
        <v>73</v>
      </c>
      <c r="C112" s="21" t="s">
        <v>188</v>
      </c>
      <c r="D112" s="24" t="s">
        <v>28</v>
      </c>
      <c r="E112" s="3" t="s">
        <v>32</v>
      </c>
      <c r="F112" s="3" t="s">
        <v>33</v>
      </c>
      <c r="G112" s="21" t="s">
        <v>34</v>
      </c>
      <c r="H112" s="27" t="s">
        <v>188</v>
      </c>
      <c r="I112" s="22"/>
      <c r="J112" s="26">
        <f>IF([1]!Tabla1[[#This Row],[Etapa]]="OK",1,IF([1]!Tabla1[[#This Row],[Etapa]]="EN PROCESO",0,-1))</f>
        <v>-1</v>
      </c>
    </row>
    <row r="113" spans="1:10" ht="53.25" thickTop="1" thickBot="1" x14ac:dyDescent="0.3">
      <c r="A113" s="3"/>
      <c r="B113" s="3">
        <v>73</v>
      </c>
      <c r="C113" s="3" t="s">
        <v>157</v>
      </c>
      <c r="D113" t="s">
        <v>94</v>
      </c>
      <c r="E113" s="3" t="s">
        <v>32</v>
      </c>
      <c r="F113" s="3" t="s">
        <v>19</v>
      </c>
      <c r="G113" s="21" t="s">
        <v>34</v>
      </c>
      <c r="H113" s="27" t="s">
        <v>157</v>
      </c>
      <c r="I113" s="22"/>
      <c r="J113" s="6">
        <f>IF([1]!Tabla1[[#This Row],[Etapa]]="OK",1,IF([1]!Tabla1[[#This Row],[Etapa]]="EN PROCESO",0,-1))</f>
        <v>-1</v>
      </c>
    </row>
    <row r="114" spans="1:10" ht="91.5" thickTop="1" thickBot="1" x14ac:dyDescent="0.3">
      <c r="A114" s="20" t="s">
        <v>29</v>
      </c>
      <c r="B114" s="3">
        <v>73</v>
      </c>
      <c r="C114" s="21" t="s">
        <v>189</v>
      </c>
      <c r="D114" t="s">
        <v>94</v>
      </c>
      <c r="E114" s="3" t="s">
        <v>32</v>
      </c>
      <c r="F114" s="3" t="s">
        <v>33</v>
      </c>
      <c r="G114" s="21" t="s">
        <v>34</v>
      </c>
      <c r="H114" s="27" t="s">
        <v>125</v>
      </c>
      <c r="I114" s="22"/>
      <c r="J114" s="6">
        <v>0</v>
      </c>
    </row>
    <row r="115" spans="1:10" ht="104.25" thickTop="1" thickBot="1" x14ac:dyDescent="0.3">
      <c r="A115" s="3"/>
      <c r="B115" s="3">
        <v>73</v>
      </c>
      <c r="C115" s="3" t="s">
        <v>190</v>
      </c>
      <c r="D115" t="s">
        <v>94</v>
      </c>
      <c r="E115" s="3" t="s">
        <v>32</v>
      </c>
      <c r="F115" s="3" t="s">
        <v>33</v>
      </c>
      <c r="G115" s="21" t="s">
        <v>34</v>
      </c>
      <c r="H115" s="27" t="s">
        <v>190</v>
      </c>
      <c r="I115" s="22"/>
      <c r="J115" s="26">
        <f>IF([1]!Tabla1[[#This Row],[Etapa]]="OK",1,IF([1]!Tabla1[[#This Row],[Etapa]]="EN PROCESO",0,-1))</f>
        <v>-1</v>
      </c>
    </row>
    <row r="116" spans="1:10" ht="78.75" thickTop="1" thickBot="1" x14ac:dyDescent="0.3">
      <c r="A116" s="16" t="s">
        <v>191</v>
      </c>
      <c r="B116" s="18">
        <v>74</v>
      </c>
      <c r="C116" s="18" t="s">
        <v>192</v>
      </c>
      <c r="D116" s="21" t="s">
        <v>193</v>
      </c>
      <c r="E116" s="3" t="s">
        <v>32</v>
      </c>
      <c r="F116" s="3" t="s">
        <v>33</v>
      </c>
      <c r="G116" s="21" t="s">
        <v>34</v>
      </c>
      <c r="H116" s="27" t="str">
        <f>[1]!Tabla1[[#This Row],[Descripción]]</f>
        <v>Gestión de Systech (Pagos directos, Pago servicios)</v>
      </c>
      <c r="I116" s="22"/>
      <c r="J116" s="6">
        <f>IF([1]!Tabla1[[#This Row],[Etapa]]="OK",1,IF([1]!Tabla1[[#This Row],[Etapa]]="EN PROCESO",0,-1))</f>
        <v>-1</v>
      </c>
    </row>
    <row r="117" spans="1:10" ht="142.5" thickTop="1" thickBot="1" x14ac:dyDescent="0.3">
      <c r="A117" s="20" t="s">
        <v>194</v>
      </c>
      <c r="B117" s="21">
        <v>74</v>
      </c>
      <c r="C117" s="21" t="s">
        <v>195</v>
      </c>
      <c r="D117" s="21" t="s">
        <v>28</v>
      </c>
      <c r="E117" s="3" t="s">
        <v>24</v>
      </c>
      <c r="F117" s="3" t="s">
        <v>19</v>
      </c>
      <c r="G117" s="21" t="s">
        <v>20</v>
      </c>
      <c r="H117" s="25" t="str">
        <f>[1]!Tabla1[[#This Row],[Descripción]]</f>
        <v>Issue Produccion - Servicio ORQClientes0002 - mail enmascarado incorrecto - Pruebas BP - WALLET</v>
      </c>
      <c r="I117" s="22"/>
      <c r="J117" s="6">
        <f>IF([1]!Tabla1[[#This Row],[Etapa]]="OK",1,IF([1]!Tabla1[[#This Row],[Etapa]]="EN PROCESO",0,-1))</f>
        <v>-1</v>
      </c>
    </row>
    <row r="118" spans="1:10" ht="141.75" thickTop="1" thickBot="1" x14ac:dyDescent="0.3">
      <c r="A118" s="20" t="s">
        <v>196</v>
      </c>
      <c r="B118" s="21">
        <v>74</v>
      </c>
      <c r="C118" s="21" t="s">
        <v>197</v>
      </c>
      <c r="D118" s="21" t="s">
        <v>198</v>
      </c>
      <c r="E118" s="3" t="s">
        <v>82</v>
      </c>
      <c r="F118" s="3" t="s">
        <v>19</v>
      </c>
      <c r="G118" s="21" t="s">
        <v>25</v>
      </c>
      <c r="H118" s="13" t="str">
        <f>[1]!Tabla1[[#This Row],[Descripción]]</f>
        <v>Disponibilización de servicio de Genera para Portal - PRODUCCIÓN - RECURSIVOS</v>
      </c>
      <c r="I118" s="22"/>
      <c r="J118" s="6">
        <f>IF([1]!Tabla1[[#This Row],[Etapa]]="OK",1,IF([1]!Tabla1[[#This Row],[Etapa]]="EN PROCESO",0,-1))</f>
        <v>-1</v>
      </c>
    </row>
    <row r="119" spans="1:10" ht="91.5" thickTop="1" thickBot="1" x14ac:dyDescent="0.3">
      <c r="A119" s="20" t="s">
        <v>199</v>
      </c>
      <c r="B119" s="21">
        <v>74</v>
      </c>
      <c r="C119" s="21" t="s">
        <v>200</v>
      </c>
      <c r="D119" s="21" t="s">
        <v>193</v>
      </c>
      <c r="E119" s="3" t="s">
        <v>32</v>
      </c>
      <c r="F119" s="3" t="s">
        <v>33</v>
      </c>
      <c r="G119" s="21" t="s">
        <v>34</v>
      </c>
      <c r="H119" s="27" t="str">
        <f>[1]!Tabla1[[#This Row],[Descripción]]</f>
        <v>Asignar nuevo Grupo de Ejecución - PRODUCCIÓN - CUENTAS</v>
      </c>
      <c r="I119" s="22"/>
      <c r="J119" s="6">
        <f>IF([1]!Tabla1[[#This Row],[Etapa]]="OK",1,IF([1]!Tabla1[[#This Row],[Etapa]]="EN PROCESO",0,-1))</f>
        <v>-1</v>
      </c>
    </row>
    <row r="120" spans="1:10" ht="142.5" thickTop="1" thickBot="1" x14ac:dyDescent="0.3">
      <c r="A120" s="20" t="s">
        <v>201</v>
      </c>
      <c r="B120" s="21">
        <v>74</v>
      </c>
      <c r="C120" s="21" t="s">
        <v>202</v>
      </c>
      <c r="D120" s="21" t="s">
        <v>203</v>
      </c>
      <c r="E120" s="3" t="s">
        <v>32</v>
      </c>
      <c r="F120" s="3" t="s">
        <v>182</v>
      </c>
      <c r="G120" s="21" t="s">
        <v>34</v>
      </c>
      <c r="H120" s="27" t="str">
        <f>[1]!Tabla1[[#This Row],[Descripción]]</f>
        <v>Migrar plantillas de notificacion MSG al servicio notificador central PRODUCCIÓN - WALLET</v>
      </c>
      <c r="I120" s="22"/>
      <c r="J120" s="6">
        <f>IF([1]!Tabla1[[#This Row],[Etapa]]="OK",1,IF([1]!Tabla1[[#This Row],[Etapa]]="EN PROCESO",0,-1))</f>
        <v>-1</v>
      </c>
    </row>
    <row r="121" spans="1:10" ht="91.5" thickTop="1" thickBot="1" x14ac:dyDescent="0.3">
      <c r="A121" s="30" t="s">
        <v>204</v>
      </c>
      <c r="B121" s="31">
        <v>74</v>
      </c>
      <c r="C121" s="31" t="s">
        <v>205</v>
      </c>
      <c r="D121" s="3" t="s">
        <v>94</v>
      </c>
      <c r="E121" s="3" t="s">
        <v>32</v>
      </c>
      <c r="F121" s="3" t="s">
        <v>33</v>
      </c>
      <c r="G121" s="21" t="s">
        <v>34</v>
      </c>
      <c r="H121" s="27" t="str">
        <f>[1]!Tabla1[[#This Row],[Descripción]]</f>
        <v>Exposicion de servicios BIMO WALLET---- Soporte de pruebas</v>
      </c>
      <c r="I121" s="32"/>
      <c r="J121" s="6">
        <f>IF([1]!Tabla1[[#This Row],[Etapa]]="OK",1,IF([1]!Tabla1[[#This Row],[Etapa]]="EN PROCESO",0,-1))</f>
        <v>-1</v>
      </c>
    </row>
    <row r="122" spans="1:10" ht="91.5" thickTop="1" thickBot="1" x14ac:dyDescent="0.3">
      <c r="A122" s="30" t="s">
        <v>206</v>
      </c>
      <c r="B122" s="31">
        <v>74</v>
      </c>
      <c r="C122" s="31" t="s">
        <v>207</v>
      </c>
      <c r="D122" s="3" t="s">
        <v>208</v>
      </c>
      <c r="E122" s="3" t="s">
        <v>32</v>
      </c>
      <c r="F122" s="3" t="s">
        <v>33</v>
      </c>
      <c r="G122" s="21" t="s">
        <v>34</v>
      </c>
      <c r="H122" s="27" t="str">
        <f>[1]!Tabla1[[#This Row],[Descripción]]</f>
        <v>Analisis Servicio de consulta a la Base de Refinanciamiento - Preciso</v>
      </c>
      <c r="I122" s="32"/>
      <c r="J122" s="6">
        <f>IF([1]!Tabla1[[#This Row],[Etapa]]="OK",1,IF([1]!Tabla1[[#This Row],[Etapa]]="EN PROCESO",0,-1))</f>
        <v>-1</v>
      </c>
    </row>
    <row r="123" spans="1:10" ht="91.5" thickTop="1" thickBot="1" x14ac:dyDescent="0.3">
      <c r="A123" s="30" t="s">
        <v>161</v>
      </c>
      <c r="B123" s="31">
        <v>74</v>
      </c>
      <c r="C123" s="31" t="s">
        <v>162</v>
      </c>
      <c r="D123" s="3" t="s">
        <v>85</v>
      </c>
      <c r="E123" s="3" t="s">
        <v>32</v>
      </c>
      <c r="F123" s="3" t="s">
        <v>33</v>
      </c>
      <c r="G123" s="21" t="s">
        <v>63</v>
      </c>
      <c r="H123" s="27" t="str">
        <f>[1]!Tabla1[[#This Row],[Descripción]]</f>
        <v>Pedido de Célula para revision de Servicios Yanbal. Análisis - Preciso</v>
      </c>
      <c r="I123" s="32"/>
      <c r="J123" s="6">
        <f>IF([1]!Tabla1[[#This Row],[Etapa]]="OK",1,IF([1]!Tabla1[[#This Row],[Etapa]]="EN PROCESO",0,-1))</f>
        <v>-1</v>
      </c>
    </row>
    <row r="124" spans="1:10" ht="91.5" thickTop="1" thickBot="1" x14ac:dyDescent="0.3">
      <c r="A124" s="30" t="s">
        <v>209</v>
      </c>
      <c r="B124" s="31">
        <v>74</v>
      </c>
      <c r="C124" s="31" t="s">
        <v>210</v>
      </c>
      <c r="D124" s="3" t="s">
        <v>17</v>
      </c>
      <c r="E124" s="3" t="s">
        <v>24</v>
      </c>
      <c r="F124" s="3" t="s">
        <v>19</v>
      </c>
      <c r="G124" s="21" t="s">
        <v>25</v>
      </c>
      <c r="H124" s="25" t="str">
        <f>[1]!Tabla1[[#This Row],[Descripción]]</f>
        <v>Registrar el teller de la apertura de cuenta Análisis - Onboarding</v>
      </c>
      <c r="I124" s="32"/>
      <c r="J124" s="6">
        <f>IF([1]!Tabla1[[#This Row],[Etapa]]="OK",1,IF([1]!Tabla1[[#This Row],[Etapa]]="EN PROCESO",0,-1))</f>
        <v>-1</v>
      </c>
    </row>
    <row r="125" spans="1:10" ht="155.25" thickTop="1" thickBot="1" x14ac:dyDescent="0.3">
      <c r="A125" s="30" t="s">
        <v>163</v>
      </c>
      <c r="B125" s="31">
        <v>74</v>
      </c>
      <c r="C125" s="31" t="s">
        <v>211</v>
      </c>
      <c r="D125" s="3" t="s">
        <v>60</v>
      </c>
      <c r="E125" s="3" t="s">
        <v>32</v>
      </c>
      <c r="F125" s="3" t="s">
        <v>19</v>
      </c>
      <c r="G125" s="21" t="s">
        <v>34</v>
      </c>
      <c r="H125" s="27" t="str">
        <f>[1]!Tabla1[[#This Row],[Descripción]]</f>
        <v>Incluir el servicio ORQSeguridad0021 para nuestras credenciales USPAGEW Análisis - Onboarding</v>
      </c>
      <c r="I125" s="32"/>
      <c r="J125" s="6">
        <f>IF([1]!Tabla1[[#This Row],[Etapa]]="OK",1,IF([1]!Tabla1[[#This Row],[Etapa]]="EN PROCESO",0,-1))</f>
        <v>-1</v>
      </c>
    </row>
    <row r="126" spans="1:10" ht="155.25" thickTop="1" thickBot="1" x14ac:dyDescent="0.3">
      <c r="A126" s="30" t="s">
        <v>148</v>
      </c>
      <c r="B126" s="31">
        <v>74</v>
      </c>
      <c r="C126" s="31" t="s">
        <v>212</v>
      </c>
      <c r="D126" s="3" t="s">
        <v>53</v>
      </c>
      <c r="E126" s="3" t="s">
        <v>32</v>
      </c>
      <c r="F126" s="3" t="s">
        <v>33</v>
      </c>
      <c r="G126" s="21" t="s">
        <v>34</v>
      </c>
      <c r="H126" s="27" t="str">
        <f>[1]!Tabla1[[#This Row],[Descripción]]</f>
        <v>Exponer en Datapower Externo servicios de validación de identidad onboarding / APP cuentas Análisis</v>
      </c>
      <c r="I126" s="32"/>
      <c r="J126" s="6">
        <f>IF([1]!Tabla1[[#This Row],[Etapa]]="OK",1,IF([1]!Tabla1[[#This Row],[Etapa]]="EN PROCESO",0,-1))</f>
        <v>-1</v>
      </c>
    </row>
    <row r="127" spans="1:10" ht="129.75" thickTop="1" thickBot="1" x14ac:dyDescent="0.3">
      <c r="A127" s="30" t="s">
        <v>146</v>
      </c>
      <c r="B127" s="31">
        <v>74</v>
      </c>
      <c r="C127" s="31" t="s">
        <v>147</v>
      </c>
      <c r="D127" s="3" t="s">
        <v>120</v>
      </c>
      <c r="E127" s="3" t="s">
        <v>54</v>
      </c>
      <c r="F127" s="3" t="s">
        <v>182</v>
      </c>
      <c r="G127" s="21" t="s">
        <v>20</v>
      </c>
      <c r="H127" s="29" t="str">
        <f>[1]!Tabla1[[#This Row],[Descripción]]</f>
        <v>TCS_03_03: Creación y Modificación de Referencias **Contacto** del Cliente</v>
      </c>
      <c r="I127" s="32"/>
      <c r="J127" s="6">
        <f>IF([1]!Tabla1[[#This Row],[Etapa]]="OK",1,IF([1]!Tabla1[[#This Row],[Etapa]]="EN PROCESO",0,-1))</f>
        <v>-1</v>
      </c>
    </row>
    <row r="128" spans="1:10" ht="129.75" thickTop="1" thickBot="1" x14ac:dyDescent="0.3">
      <c r="A128" s="30" t="s">
        <v>168</v>
      </c>
      <c r="B128" s="31">
        <v>74</v>
      </c>
      <c r="C128" s="31" t="s">
        <v>169</v>
      </c>
      <c r="D128" s="3" t="s">
        <v>23</v>
      </c>
      <c r="E128" s="3" t="s">
        <v>24</v>
      </c>
      <c r="F128" s="3" t="s">
        <v>19</v>
      </c>
      <c r="G128" s="21" t="s">
        <v>44</v>
      </c>
      <c r="H128" s="25" t="str">
        <f>[1]!Tabla1[[#This Row],[Descripción]]</f>
        <v>TCS_03_07: Creación y Modificación de Referencias **Tarjeta de Crédito**</v>
      </c>
      <c r="I128" s="32"/>
      <c r="J128" s="6">
        <f>IF([1]!Tabla1[[#This Row],[Etapa]]="OK",1,IF([1]!Tabla1[[#This Row],[Etapa]]="EN PROCESO",0,-1))</f>
        <v>-1</v>
      </c>
    </row>
    <row r="129" spans="1:10" ht="168" thickTop="1" thickBot="1" x14ac:dyDescent="0.3">
      <c r="A129" s="30" t="s">
        <v>142</v>
      </c>
      <c r="B129" s="31">
        <v>74</v>
      </c>
      <c r="C129" s="31" t="s">
        <v>213</v>
      </c>
      <c r="D129" s="3" t="s">
        <v>85</v>
      </c>
      <c r="E129" s="3" t="s">
        <v>54</v>
      </c>
      <c r="F129" s="3" t="s">
        <v>19</v>
      </c>
      <c r="G129" s="21" t="s">
        <v>214</v>
      </c>
      <c r="H129" s="29" t="str">
        <f>[1]!Tabla1[[#This Row],[Descripción]]</f>
        <v>Servicio Calculo Capacidad de Pago (Pendiente autorización por mezcla de ambientes) - DESARROLLO - PRECISO</v>
      </c>
      <c r="I129" s="32"/>
      <c r="J129" s="6">
        <f>IF([1]!Tabla1[[#This Row],[Etapa]]="OK",1,IF([1]!Tabla1[[#This Row],[Etapa]]="EN PROCESO",0,-1))</f>
        <v>-1</v>
      </c>
    </row>
    <row r="130" spans="1:10" ht="91.5" thickTop="1" thickBot="1" x14ac:dyDescent="0.3">
      <c r="A130" s="30" t="s">
        <v>144</v>
      </c>
      <c r="B130" s="31">
        <v>74</v>
      </c>
      <c r="C130" s="31" t="s">
        <v>145</v>
      </c>
      <c r="D130" s="3" t="s">
        <v>23</v>
      </c>
      <c r="E130" s="3" t="s">
        <v>32</v>
      </c>
      <c r="F130" s="3" t="s">
        <v>19</v>
      </c>
      <c r="G130" s="21" t="s">
        <v>34</v>
      </c>
      <c r="H130" s="27" t="str">
        <f>[1]!Tabla1[[#This Row],[Descripción]]</f>
        <v>Monitorización Notificación OTP -  POC ANALISIS - CUENTAS</v>
      </c>
      <c r="I130" s="32"/>
      <c r="J130" s="6">
        <f>IF([1]!Tabla1[[#This Row],[Etapa]]="OK",1,IF([1]!Tabla1[[#This Row],[Etapa]]="EN PROCESO",0,-1))</f>
        <v>-1</v>
      </c>
    </row>
    <row r="131" spans="1:10" ht="66" thickTop="1" thickBot="1" x14ac:dyDescent="0.3">
      <c r="A131" s="30" t="s">
        <v>64</v>
      </c>
      <c r="B131" s="31">
        <v>74</v>
      </c>
      <c r="C131" s="31" t="s">
        <v>175</v>
      </c>
      <c r="D131" s="3" t="s">
        <v>17</v>
      </c>
      <c r="E131" s="3" t="s">
        <v>54</v>
      </c>
      <c r="F131" s="3" t="s">
        <v>19</v>
      </c>
      <c r="G131" s="21" t="s">
        <v>55</v>
      </c>
      <c r="H131" s="29" t="str">
        <f>[1]!Tabla1[[#This Row],[Descripción]]</f>
        <v>Registrar el teller de la apertura de cuenta [JP (8)]</v>
      </c>
      <c r="I131" s="32"/>
      <c r="J131" s="6">
        <f>IF([1]!Tabla1[[#This Row],[Etapa]]="OK",1,IF([1]!Tabla1[[#This Row],[Etapa]]="EN PROCESO",0,-1))</f>
        <v>-1</v>
      </c>
    </row>
    <row r="132" spans="1:10" ht="154.5" thickTop="1" thickBot="1" x14ac:dyDescent="0.3">
      <c r="A132" s="30" t="s">
        <v>45</v>
      </c>
      <c r="B132" s="31">
        <v>74</v>
      </c>
      <c r="C132" s="31" t="s">
        <v>46</v>
      </c>
      <c r="D132" s="3" t="s">
        <v>28</v>
      </c>
      <c r="E132" s="3" t="s">
        <v>18</v>
      </c>
      <c r="F132" s="3" t="s">
        <v>19</v>
      </c>
      <c r="G132" s="21" t="s">
        <v>20</v>
      </c>
      <c r="H132" s="10" t="str">
        <f>[1]!Tabla1[[#This Row],[Descripción]]</f>
        <v>Incluir el servicio ORQSeguridad0021 para nuestras credenciales - Desarrollo- Cerlula Cuentas/KE</v>
      </c>
      <c r="I132" s="32"/>
      <c r="J132" s="6">
        <f>IF([1]!Tabla1[[#This Row],[Etapa]]="OK",1,IF([1]!Tabla1[[#This Row],[Etapa]]="EN PROCESO",0,-1))</f>
        <v>-1</v>
      </c>
    </row>
    <row r="133" spans="1:10" ht="167.25" thickTop="1" thickBot="1" x14ac:dyDescent="0.3">
      <c r="A133" s="30" t="s">
        <v>83</v>
      </c>
      <c r="B133" s="31">
        <v>74</v>
      </c>
      <c r="C133" s="31" t="s">
        <v>84</v>
      </c>
      <c r="D133" s="3" t="s">
        <v>85</v>
      </c>
      <c r="E133" s="3" t="s">
        <v>18</v>
      </c>
      <c r="F133" s="3" t="s">
        <v>19</v>
      </c>
      <c r="G133" s="21" t="s">
        <v>71</v>
      </c>
      <c r="H133" s="10" t="str">
        <f>[1]!Tabla1[[#This Row],[Descripción]]</f>
        <v>Exponer en Datapower Externo servicios de validación de identidad onboarding / APP --KE</v>
      </c>
      <c r="I133" s="32"/>
      <c r="J133" s="6">
        <f>IF([1]!Tabla1[[#This Row],[Etapa]]="OK",1,IF([1]!Tabla1[[#This Row],[Etapa]]="EN PROCESO",0,-1))</f>
        <v>-1</v>
      </c>
    </row>
    <row r="134" spans="1:10" ht="78.75" thickTop="1" thickBot="1" x14ac:dyDescent="0.3">
      <c r="A134" s="30" t="s">
        <v>122</v>
      </c>
      <c r="B134" s="31">
        <v>74</v>
      </c>
      <c r="C134" s="31" t="s">
        <v>123</v>
      </c>
      <c r="D134" s="3" t="s">
        <v>60</v>
      </c>
      <c r="E134" s="3" t="s">
        <v>32</v>
      </c>
      <c r="F134" s="3" t="s">
        <v>19</v>
      </c>
      <c r="G134" s="21" t="s">
        <v>34</v>
      </c>
      <c r="H134" s="27" t="str">
        <f>[1]!Tabla1[[#This Row],[Descripción]]</f>
        <v>Recordar usuario con pin (Reversar) - PRUEBAS BP - APP</v>
      </c>
      <c r="I134" s="32"/>
      <c r="J134" s="6">
        <f>IF([1]!Tabla1[[#This Row],[Etapa]]="OK",1,IF([1]!Tabla1[[#This Row],[Etapa]]="EN PROCESO",0,-1))</f>
        <v>-1</v>
      </c>
    </row>
    <row r="135" spans="1:10" ht="104.25" thickTop="1" thickBot="1" x14ac:dyDescent="0.3">
      <c r="A135" s="30" t="s">
        <v>118</v>
      </c>
      <c r="B135" s="31">
        <v>74</v>
      </c>
      <c r="C135" s="31" t="s">
        <v>119</v>
      </c>
      <c r="D135" s="3" t="s">
        <v>120</v>
      </c>
      <c r="E135" s="3" t="s">
        <v>54</v>
      </c>
      <c r="F135" s="3" t="s">
        <v>182</v>
      </c>
      <c r="G135" s="21" t="s">
        <v>41</v>
      </c>
      <c r="H135" s="29" t="str">
        <f>[1]!Tabla1[[#This Row],[Descripción]]</f>
        <v>Gestión de Systech (Pagos directos, Pago servicios): PRUEBAS BP - APP</v>
      </c>
      <c r="I135" s="32"/>
      <c r="J135" s="6">
        <f>IF([1]!Tabla1[[#This Row],[Etapa]]="OK",1,IF([1]!Tabla1[[#This Row],[Etapa]]="EN PROCESO",0,-1))</f>
        <v>-1</v>
      </c>
    </row>
    <row r="136" spans="1:10" ht="180.75" thickTop="1" thickBot="1" x14ac:dyDescent="0.3">
      <c r="A136" s="30" t="s">
        <v>133</v>
      </c>
      <c r="B136" s="31">
        <v>74</v>
      </c>
      <c r="C136" s="31" t="s">
        <v>134</v>
      </c>
      <c r="D136" s="3" t="s">
        <v>17</v>
      </c>
      <c r="E136" s="3" t="s">
        <v>54</v>
      </c>
      <c r="F136" s="3" t="s">
        <v>33</v>
      </c>
      <c r="G136" s="21" t="s">
        <v>55</v>
      </c>
      <c r="H136" s="29" t="str">
        <f>[1]!Tabla1[[#This Row],[Descripción]]</f>
        <v>Issue Produccion - Servicio ORQClientes0002 - mail enmascarado incorrecto - Pruebas BP G PRODUCCION - WALLET</v>
      </c>
      <c r="I136" s="32"/>
      <c r="J136" s="6">
        <f>IF([1]!Tabla1[[#This Row],[Etapa]]="OK",1,IF([1]!Tabla1[[#This Row],[Etapa]]="EN PROCESO",0,-1))</f>
        <v>-1</v>
      </c>
    </row>
    <row r="137" spans="1:10" ht="129.75" thickTop="1" thickBot="1" x14ac:dyDescent="0.3">
      <c r="A137" s="30" t="s">
        <v>74</v>
      </c>
      <c r="B137" s="31">
        <v>74</v>
      </c>
      <c r="C137" s="31" t="s">
        <v>75</v>
      </c>
      <c r="D137" s="3" t="s">
        <v>17</v>
      </c>
      <c r="E137" s="3" t="s">
        <v>32</v>
      </c>
      <c r="F137" s="3" t="s">
        <v>19</v>
      </c>
      <c r="G137" s="21" t="s">
        <v>34</v>
      </c>
      <c r="H137" s="27" t="str">
        <f>[1]!Tabla1[[#This Row],[Descripción]]</f>
        <v>Disponibilización de servicio de Genera para Portal - G PRODUCCIÓN - RECURSIVOS</v>
      </c>
      <c r="I137" s="32"/>
      <c r="J137" s="6">
        <f>IF([1]!Tabla1[[#This Row],[Etapa]]="OK",1,IF([1]!Tabla1[[#This Row],[Etapa]]="EN PROCESO",0,-1))</f>
        <v>-1</v>
      </c>
    </row>
    <row r="138" spans="1:10" ht="104.25" thickTop="1" thickBot="1" x14ac:dyDescent="0.3">
      <c r="A138" s="30" t="s">
        <v>47</v>
      </c>
      <c r="B138" s="31">
        <v>74</v>
      </c>
      <c r="C138" s="31" t="s">
        <v>48</v>
      </c>
      <c r="D138" s="3" t="s">
        <v>28</v>
      </c>
      <c r="E138" s="3" t="s">
        <v>32</v>
      </c>
      <c r="F138" s="3" t="s">
        <v>33</v>
      </c>
      <c r="G138" s="21" t="s">
        <v>107</v>
      </c>
      <c r="H138" s="27" t="str">
        <f>[1]!Tabla1[[#This Row],[Descripción]]</f>
        <v>Asignar nuevo Grupo de Ejecución - G PRODUCCIÓN - CUENTAS</v>
      </c>
      <c r="I138" s="32"/>
      <c r="J138" s="6">
        <f>IF([1]!Tabla1[[#This Row],[Etapa]]="OK",1,IF([1]!Tabla1[[#This Row],[Etapa]]="EN PROCESO",0,-1))</f>
        <v>-1</v>
      </c>
    </row>
    <row r="139" spans="1:10" ht="129.75" thickTop="1" thickBot="1" x14ac:dyDescent="0.3">
      <c r="A139" s="30" t="s">
        <v>116</v>
      </c>
      <c r="B139" s="31">
        <v>74</v>
      </c>
      <c r="C139" s="31" t="s">
        <v>215</v>
      </c>
      <c r="D139" s="3" t="s">
        <v>60</v>
      </c>
      <c r="E139" s="3" t="s">
        <v>32</v>
      </c>
      <c r="F139" s="3" t="s">
        <v>19</v>
      </c>
      <c r="G139" s="21" t="s">
        <v>34</v>
      </c>
      <c r="H139" s="27" t="str">
        <f>[1]!Tabla1[[#This Row],[Descripción]]</f>
        <v>Exposicion de servicios BIMO -- Soporte de pruebas -- G PRODUCCION - WALLET</v>
      </c>
      <c r="I139" s="32"/>
      <c r="J139" s="6">
        <f>IF([1]!Tabla1[[#This Row],[Etapa]]="OK",1,IF([1]!Tabla1[[#This Row],[Etapa]]="EN PROCESO",0,-1))</f>
        <v>-1</v>
      </c>
    </row>
    <row r="140" spans="1:10" ht="168" thickTop="1" thickBot="1" x14ac:dyDescent="0.3">
      <c r="A140" s="30" t="s">
        <v>110</v>
      </c>
      <c r="B140" s="31">
        <v>74</v>
      </c>
      <c r="C140" s="31" t="s">
        <v>216</v>
      </c>
      <c r="D140" s="3" t="s">
        <v>17</v>
      </c>
      <c r="E140" s="3" t="s">
        <v>54</v>
      </c>
      <c r="F140" s="3" t="s">
        <v>33</v>
      </c>
      <c r="G140" s="21" t="s">
        <v>55</v>
      </c>
      <c r="H140" s="29" t="str">
        <f>[1]!Tabla1[[#This Row],[Descripción]]</f>
        <v>Servicio Consulta Filtros Duros y Capacidad de Pago Beclever /Soporte /Preciso -- G PRODUCCION - WALLET</v>
      </c>
      <c r="I140" s="32"/>
      <c r="J140" s="6">
        <f>IF([1]!Tabla1[[#This Row],[Etapa]]="OK",1,IF([1]!Tabla1[[#This Row],[Etapa]]="EN PROCESO",0,-1))</f>
        <v>-1</v>
      </c>
    </row>
    <row r="141" spans="1:10" ht="104.25" thickTop="1" thickBot="1" x14ac:dyDescent="0.3">
      <c r="A141" s="30" t="s">
        <v>101</v>
      </c>
      <c r="B141" s="31">
        <v>74</v>
      </c>
      <c r="C141" s="31" t="s">
        <v>102</v>
      </c>
      <c r="D141" s="3" t="s">
        <v>28</v>
      </c>
      <c r="E141" s="3" t="s">
        <v>32</v>
      </c>
      <c r="F141" s="3" t="s">
        <v>33</v>
      </c>
      <c r="G141" s="21" t="s">
        <v>63</v>
      </c>
      <c r="H141" s="27" t="str">
        <f>[1]!Tabla1[[#This Row],[Descripción]]</f>
        <v>Servicio de consulta a la Base de Refinanciamiento [ANÁLISIS - CRÉDITO EN LÍNEA]</v>
      </c>
      <c r="I141" s="32"/>
      <c r="J141" s="6">
        <f>IF([1]!Tabla1[[#This Row],[Etapa]]="OK",1,IF([1]!Tabla1[[#This Row],[Etapa]]="EN PROCESO",0,-1))</f>
        <v>-1</v>
      </c>
    </row>
    <row r="142" spans="1:10" ht="117" thickTop="1" thickBot="1" x14ac:dyDescent="0.3">
      <c r="A142" s="30" t="s">
        <v>49</v>
      </c>
      <c r="B142" s="31">
        <v>74</v>
      </c>
      <c r="C142" s="31" t="s">
        <v>50</v>
      </c>
      <c r="D142" s="3" t="s">
        <v>28</v>
      </c>
      <c r="E142" s="3" t="s">
        <v>32</v>
      </c>
      <c r="F142" s="3" t="s">
        <v>33</v>
      </c>
      <c r="G142" s="21" t="s">
        <v>63</v>
      </c>
      <c r="H142" s="27" t="str">
        <f>[1]!Tabla1[[#This Row],[Descripción]]</f>
        <v>Disponibilizar servicio WSTransferencias1010 [DESARROLLO - CRÉDITO EN LÍNEA ]</v>
      </c>
      <c r="I142" s="32"/>
      <c r="J142" s="6">
        <f>IF([1]!Tabla1[[#This Row],[Etapa]]="OK",1,IF([1]!Tabla1[[#This Row],[Etapa]]="EN PROCESO",0,-1))</f>
        <v>-1</v>
      </c>
    </row>
    <row r="143" spans="1:10" ht="104.25" thickTop="1" thickBot="1" x14ac:dyDescent="0.3">
      <c r="A143" s="30" t="s">
        <v>35</v>
      </c>
      <c r="B143" s="31">
        <v>74</v>
      </c>
      <c r="C143" s="31" t="s">
        <v>126</v>
      </c>
      <c r="D143" s="3" t="s">
        <v>28</v>
      </c>
      <c r="E143" s="3" t="s">
        <v>54</v>
      </c>
      <c r="F143" s="3" t="s">
        <v>33</v>
      </c>
      <c r="G143" s="21" t="s">
        <v>41</v>
      </c>
      <c r="H143" s="29" t="str">
        <f>[1]!Tabla1[[#This Row],[Descripción]]</f>
        <v>Construccion de servicio BIMO: Transferencia [ANÁLISIS - WALLET]</v>
      </c>
      <c r="I143" s="32"/>
      <c r="J143" s="6">
        <f>IF([1]!Tabla1[[#This Row],[Etapa]]="OK",1,IF([1]!Tabla1[[#This Row],[Etapa]]="EN PROCESO",0,-1))</f>
        <v>-1</v>
      </c>
    </row>
    <row r="144" spans="1:10" ht="168" thickTop="1" thickBot="1" x14ac:dyDescent="0.3">
      <c r="A144" s="30" t="s">
        <v>66</v>
      </c>
      <c r="B144" s="31">
        <v>74</v>
      </c>
      <c r="C144" s="31" t="s">
        <v>217</v>
      </c>
      <c r="D144" s="3" t="s">
        <v>28</v>
      </c>
      <c r="E144" s="3" t="s">
        <v>54</v>
      </c>
      <c r="F144" s="3" t="s">
        <v>33</v>
      </c>
      <c r="G144" s="21" t="s">
        <v>63</v>
      </c>
      <c r="H144" s="29" t="str">
        <f>[1]!Tabla1[[#This Row],[Descripción]]</f>
        <v>TCS_03_03: Creación y Modificación de Referencias **Contacto** del Cliente [ANÁLISIS, PRUEBAS - CRM]</v>
      </c>
      <c r="I144" s="32"/>
      <c r="J144" s="6">
        <f>IF([1]!Tabla1[[#This Row],[Etapa]]="OK",1,IF([1]!Tabla1[[#This Row],[Etapa]]="EN PROCESO",0,-1))</f>
        <v>-1</v>
      </c>
    </row>
    <row r="145" spans="1:10" ht="78.75" thickTop="1" thickBot="1" x14ac:dyDescent="0.3">
      <c r="A145" s="30" t="s">
        <v>127</v>
      </c>
      <c r="B145" s="31">
        <v>74</v>
      </c>
      <c r="C145" s="31" t="s">
        <v>218</v>
      </c>
      <c r="D145" s="3" t="s">
        <v>60</v>
      </c>
      <c r="E145" s="3" t="s">
        <v>24</v>
      </c>
      <c r="F145" s="3" t="s">
        <v>19</v>
      </c>
      <c r="G145" s="21" t="s">
        <v>20</v>
      </c>
      <c r="H145" s="25" t="str">
        <f>[1]!Tabla1[[#This Row],[Descripción]]</f>
        <v>ERROR PRODUCCION - Login Pin/Huella [ANÁLISIS- APP]</v>
      </c>
      <c r="I145" s="32"/>
      <c r="J145" s="6">
        <f>IF([1]!Tabla1[[#This Row],[Etapa]]="OK",1,IF([1]!Tabla1[[#This Row],[Etapa]]="EN PROCESO",0,-1))</f>
        <v>-1</v>
      </c>
    </row>
    <row r="146" spans="1:10" ht="66" thickTop="1" thickBot="1" x14ac:dyDescent="0.3">
      <c r="A146" s="30" t="s">
        <v>108</v>
      </c>
      <c r="B146" s="31">
        <v>74</v>
      </c>
      <c r="C146" s="31" t="s">
        <v>109</v>
      </c>
      <c r="D146" s="3" t="s">
        <v>28</v>
      </c>
      <c r="E146" s="3" t="s">
        <v>32</v>
      </c>
      <c r="F146" s="3" t="s">
        <v>19</v>
      </c>
      <c r="G146" s="21" t="s">
        <v>34</v>
      </c>
      <c r="H146" s="27" t="str">
        <f>[1]!Tabla1[[#This Row],[Descripción]]</f>
        <v>ERROR PRODUCCION - Login Pin/Huella FJ- Cambio</v>
      </c>
      <c r="I146" s="32"/>
      <c r="J146" s="6">
        <f>IF([1]!Tabla1[[#This Row],[Etapa]]="OK",1,IF([1]!Tabla1[[#This Row],[Etapa]]="EN PROCESO",0,-1))</f>
        <v>-1</v>
      </c>
    </row>
    <row r="147" spans="1:10" ht="129.75" thickTop="1" thickBot="1" x14ac:dyDescent="0.3">
      <c r="A147" s="33" t="s">
        <v>219</v>
      </c>
      <c r="B147" s="31">
        <v>74</v>
      </c>
      <c r="C147" s="31" t="s">
        <v>220</v>
      </c>
      <c r="D147" s="3" t="s">
        <v>60</v>
      </c>
      <c r="E147" s="3" t="s">
        <v>24</v>
      </c>
      <c r="F147" s="3" t="s">
        <v>19</v>
      </c>
      <c r="G147" s="21" t="s">
        <v>25</v>
      </c>
      <c r="H147" s="25" t="s">
        <v>221</v>
      </c>
      <c r="I147" s="32"/>
      <c r="J147" s="6">
        <f>IF([1]!Tabla1[[#This Row],[Etapa]]="OK",1,IF([1]!Tabla1[[#This Row],[Etapa]]="EN PROCESO",0,-1))</f>
        <v>-1</v>
      </c>
    </row>
    <row r="148" spans="1:10" ht="129.75" thickTop="1" thickBot="1" x14ac:dyDescent="0.3">
      <c r="A148" s="33" t="s">
        <v>222</v>
      </c>
      <c r="B148" s="31">
        <v>74</v>
      </c>
      <c r="C148" s="31" t="s">
        <v>223</v>
      </c>
      <c r="D148" s="3" t="s">
        <v>17</v>
      </c>
      <c r="E148" s="3" t="s">
        <v>24</v>
      </c>
      <c r="F148" s="3" t="s">
        <v>19</v>
      </c>
      <c r="G148" s="21" t="s">
        <v>25</v>
      </c>
      <c r="H148" s="25" t="str">
        <f>[1]!Tabla1[[#This Row],[Descripción]]</f>
        <v xml:space="preserve">Plan Monitoreo Front Credito En Linea CELULA DE CONSUMO - G PRODUCCIÓN </v>
      </c>
      <c r="I148" s="32"/>
      <c r="J148" s="6">
        <f>IF([1]!Tabla1[[#This Row],[Etapa]]="OK",1,IF([1]!Tabla1[[#This Row],[Etapa]]="EN PROCESO",0,-1))</f>
        <v>-1</v>
      </c>
    </row>
    <row r="149" spans="1:10" ht="15.75" thickTop="1" x14ac:dyDescent="0.25"/>
  </sheetData>
  <conditionalFormatting sqref="J2">
    <cfRule type="iconSet" priority="74">
      <iconSet iconSet="3Flags">
        <cfvo type="percent" val="0"/>
        <cfvo type="num" val="0"/>
        <cfvo type="num" val="1"/>
      </iconSet>
    </cfRule>
  </conditionalFormatting>
  <conditionalFormatting sqref="J3:J40">
    <cfRule type="iconSet" priority="73">
      <iconSet iconSet="3Flags">
        <cfvo type="percent" val="0"/>
        <cfvo type="num" val="0"/>
        <cfvo type="num" val="1"/>
      </iconSet>
    </cfRule>
  </conditionalFormatting>
  <conditionalFormatting sqref="J41">
    <cfRule type="iconSet" priority="72">
      <iconSet iconSet="3Flags">
        <cfvo type="percent" val="0"/>
        <cfvo type="num" val="0"/>
        <cfvo type="num" val="1"/>
      </iconSet>
    </cfRule>
  </conditionalFormatting>
  <conditionalFormatting sqref="J45">
    <cfRule type="iconSet" priority="71">
      <iconSet iconSet="3Flags">
        <cfvo type="percent" val="0"/>
        <cfvo type="num" val="0"/>
        <cfvo type="num" val="1"/>
      </iconSet>
    </cfRule>
  </conditionalFormatting>
  <conditionalFormatting sqref="J67">
    <cfRule type="iconSet" priority="70">
      <iconSet iconSet="3Flags">
        <cfvo type="percent" val="0"/>
        <cfvo type="num" val="0"/>
        <cfvo type="num" val="1"/>
      </iconSet>
    </cfRule>
  </conditionalFormatting>
  <conditionalFormatting sqref="J70">
    <cfRule type="iconSet" priority="69">
      <iconSet iconSet="3Flags">
        <cfvo type="percent" val="0"/>
        <cfvo type="num" val="0"/>
        <cfvo type="num" val="1"/>
      </iconSet>
    </cfRule>
  </conditionalFormatting>
  <conditionalFormatting sqref="J59">
    <cfRule type="iconSet" priority="68">
      <iconSet iconSet="3Flags">
        <cfvo type="percent" val="0"/>
        <cfvo type="num" val="0"/>
        <cfvo type="num" val="1"/>
      </iconSet>
    </cfRule>
  </conditionalFormatting>
  <conditionalFormatting sqref="J43">
    <cfRule type="iconSet" priority="67">
      <iconSet iconSet="3Flags">
        <cfvo type="percent" val="0"/>
        <cfvo type="num" val="0"/>
        <cfvo type="num" val="1"/>
      </iconSet>
    </cfRule>
  </conditionalFormatting>
  <conditionalFormatting sqref="J50">
    <cfRule type="iconSet" priority="66">
      <iconSet iconSet="3Flags">
        <cfvo type="percent" val="0"/>
        <cfvo type="num" val="0"/>
        <cfvo type="num" val="1"/>
      </iconSet>
    </cfRule>
  </conditionalFormatting>
  <conditionalFormatting sqref="J54">
    <cfRule type="iconSet" priority="65">
      <iconSet iconSet="3Flags">
        <cfvo type="percent" val="0"/>
        <cfvo type="num" val="0"/>
        <cfvo type="num" val="1"/>
      </iconSet>
    </cfRule>
  </conditionalFormatting>
  <conditionalFormatting sqref="J56">
    <cfRule type="iconSet" priority="64">
      <iconSet iconSet="3Flags">
        <cfvo type="percent" val="0"/>
        <cfvo type="num" val="0"/>
        <cfvo type="num" val="1"/>
      </iconSet>
    </cfRule>
  </conditionalFormatting>
  <conditionalFormatting sqref="J62">
    <cfRule type="iconSet" priority="63">
      <iconSet iconSet="3Flags">
        <cfvo type="percent" val="0"/>
        <cfvo type="num" val="0"/>
        <cfvo type="num" val="1"/>
      </iconSet>
    </cfRule>
  </conditionalFormatting>
  <conditionalFormatting sqref="J64">
    <cfRule type="iconSet" priority="62">
      <iconSet iconSet="3Flags">
        <cfvo type="percent" val="0"/>
        <cfvo type="num" val="0"/>
        <cfvo type="num" val="1"/>
      </iconSet>
    </cfRule>
  </conditionalFormatting>
  <conditionalFormatting sqref="J68">
    <cfRule type="iconSet" priority="61">
      <iconSet iconSet="3Flags">
        <cfvo type="percent" val="0"/>
        <cfvo type="num" val="0"/>
        <cfvo type="num" val="1"/>
      </iconSet>
    </cfRule>
  </conditionalFormatting>
  <conditionalFormatting sqref="J69">
    <cfRule type="iconSet" priority="60">
      <iconSet iconSet="3Flags">
        <cfvo type="percent" val="0"/>
        <cfvo type="num" val="0"/>
        <cfvo type="num" val="1"/>
      </iconSet>
    </cfRule>
  </conditionalFormatting>
  <conditionalFormatting sqref="J71">
    <cfRule type="iconSet" priority="59">
      <iconSet iconSet="3Flags">
        <cfvo type="percent" val="0"/>
        <cfvo type="num" val="0"/>
        <cfvo type="num" val="1"/>
      </iconSet>
    </cfRule>
  </conditionalFormatting>
  <conditionalFormatting sqref="J61">
    <cfRule type="iconSet" priority="58">
      <iconSet iconSet="3Flags">
        <cfvo type="percent" val="0"/>
        <cfvo type="num" val="0"/>
        <cfvo type="num" val="1"/>
      </iconSet>
    </cfRule>
  </conditionalFormatting>
  <conditionalFormatting sqref="J44">
    <cfRule type="iconSet" priority="57">
      <iconSet iconSet="3Flags">
        <cfvo type="percent" val="0"/>
        <cfvo type="num" val="0"/>
        <cfvo type="num" val="1"/>
      </iconSet>
    </cfRule>
  </conditionalFormatting>
  <conditionalFormatting sqref="J46">
    <cfRule type="iconSet" priority="56">
      <iconSet iconSet="3Flags">
        <cfvo type="percent" val="0"/>
        <cfvo type="num" val="0"/>
        <cfvo type="num" val="1"/>
      </iconSet>
    </cfRule>
  </conditionalFormatting>
  <conditionalFormatting sqref="J42">
    <cfRule type="iconSet" priority="55">
      <iconSet iconSet="3Flags">
        <cfvo type="percent" val="0"/>
        <cfvo type="num" val="0"/>
        <cfvo type="num" val="1"/>
      </iconSet>
    </cfRule>
  </conditionalFormatting>
  <conditionalFormatting sqref="J47">
    <cfRule type="iconSet" priority="54">
      <iconSet iconSet="3Flags">
        <cfvo type="percent" val="0"/>
        <cfvo type="num" val="0"/>
        <cfvo type="num" val="1"/>
      </iconSet>
    </cfRule>
  </conditionalFormatting>
  <conditionalFormatting sqref="J48">
    <cfRule type="iconSet" priority="53">
      <iconSet iconSet="3Flags">
        <cfvo type="percent" val="0"/>
        <cfvo type="num" val="0"/>
        <cfvo type="num" val="1"/>
      </iconSet>
    </cfRule>
  </conditionalFormatting>
  <conditionalFormatting sqref="J49">
    <cfRule type="iconSet" priority="52">
      <iconSet iconSet="3Flags">
        <cfvo type="percent" val="0"/>
        <cfvo type="num" val="0"/>
        <cfvo type="num" val="1"/>
      </iconSet>
    </cfRule>
  </conditionalFormatting>
  <conditionalFormatting sqref="J51">
    <cfRule type="iconSet" priority="51">
      <iconSet iconSet="3Flags">
        <cfvo type="percent" val="0"/>
        <cfvo type="num" val="0"/>
        <cfvo type="num" val="1"/>
      </iconSet>
    </cfRule>
  </conditionalFormatting>
  <conditionalFormatting sqref="J52">
    <cfRule type="iconSet" priority="50">
      <iconSet iconSet="3Flags">
        <cfvo type="percent" val="0"/>
        <cfvo type="num" val="0"/>
        <cfvo type="num" val="1"/>
      </iconSet>
    </cfRule>
  </conditionalFormatting>
  <conditionalFormatting sqref="J53">
    <cfRule type="iconSet" priority="49">
      <iconSet iconSet="3Flags">
        <cfvo type="percent" val="0"/>
        <cfvo type="num" val="0"/>
        <cfvo type="num" val="1"/>
      </iconSet>
    </cfRule>
  </conditionalFormatting>
  <conditionalFormatting sqref="J55">
    <cfRule type="iconSet" priority="48">
      <iconSet iconSet="3Flags">
        <cfvo type="percent" val="0"/>
        <cfvo type="num" val="0"/>
        <cfvo type="num" val="1"/>
      </iconSet>
    </cfRule>
  </conditionalFormatting>
  <conditionalFormatting sqref="J57">
    <cfRule type="iconSet" priority="47">
      <iconSet iconSet="3Flags">
        <cfvo type="percent" val="0"/>
        <cfvo type="num" val="0"/>
        <cfvo type="num" val="1"/>
      </iconSet>
    </cfRule>
  </conditionalFormatting>
  <conditionalFormatting sqref="J58">
    <cfRule type="iconSet" priority="46">
      <iconSet iconSet="3Flags">
        <cfvo type="percent" val="0"/>
        <cfvo type="num" val="0"/>
        <cfvo type="num" val="1"/>
      </iconSet>
    </cfRule>
  </conditionalFormatting>
  <conditionalFormatting sqref="J60">
    <cfRule type="iconSet" priority="45">
      <iconSet iconSet="3Flags">
        <cfvo type="percent" val="0"/>
        <cfvo type="num" val="0"/>
        <cfvo type="num" val="1"/>
      </iconSet>
    </cfRule>
  </conditionalFormatting>
  <conditionalFormatting sqref="J63">
    <cfRule type="iconSet" priority="44">
      <iconSet iconSet="3Flags">
        <cfvo type="percent" val="0"/>
        <cfvo type="num" val="0"/>
        <cfvo type="num" val="1"/>
      </iconSet>
    </cfRule>
  </conditionalFormatting>
  <conditionalFormatting sqref="J66">
    <cfRule type="iconSet" priority="43">
      <iconSet iconSet="3Flags">
        <cfvo type="percent" val="0"/>
        <cfvo type="num" val="0"/>
        <cfvo type="num" val="1"/>
      </iconSet>
    </cfRule>
  </conditionalFormatting>
  <conditionalFormatting sqref="J76">
    <cfRule type="iconSet" priority="42">
      <iconSet iconSet="3Flags">
        <cfvo type="percent" val="0"/>
        <cfvo type="num" val="0"/>
        <cfvo type="num" val="1"/>
      </iconSet>
    </cfRule>
  </conditionalFormatting>
  <conditionalFormatting sqref="J65">
    <cfRule type="iconSet" priority="41">
      <iconSet iconSet="3Flags">
        <cfvo type="percent" val="0"/>
        <cfvo type="num" val="0"/>
        <cfvo type="num" val="1"/>
      </iconSet>
    </cfRule>
  </conditionalFormatting>
  <conditionalFormatting sqref="J72">
    <cfRule type="iconSet" priority="40">
      <iconSet iconSet="3Flags">
        <cfvo type="percent" val="0"/>
        <cfvo type="num" val="0"/>
        <cfvo type="num" val="1"/>
      </iconSet>
    </cfRule>
  </conditionalFormatting>
  <conditionalFormatting sqref="J73">
    <cfRule type="iconSet" priority="39">
      <iconSet iconSet="3Flags">
        <cfvo type="percent" val="0"/>
        <cfvo type="num" val="0"/>
        <cfvo type="num" val="1"/>
      </iconSet>
    </cfRule>
  </conditionalFormatting>
  <conditionalFormatting sqref="J74">
    <cfRule type="iconSet" priority="38">
      <iconSet iconSet="3Flags">
        <cfvo type="percent" val="0"/>
        <cfvo type="num" val="0"/>
        <cfvo type="num" val="1"/>
      </iconSet>
    </cfRule>
  </conditionalFormatting>
  <conditionalFormatting sqref="J75">
    <cfRule type="iconSet" priority="37">
      <iconSet iconSet="3Flags">
        <cfvo type="percent" val="0"/>
        <cfvo type="num" val="0"/>
        <cfvo type="num" val="1"/>
      </iconSet>
    </cfRule>
  </conditionalFormatting>
  <conditionalFormatting sqref="J77">
    <cfRule type="iconSet" priority="36">
      <iconSet iconSet="3Flags">
        <cfvo type="percent" val="0"/>
        <cfvo type="num" val="0"/>
        <cfvo type="num" val="1"/>
      </iconSet>
    </cfRule>
  </conditionalFormatting>
  <conditionalFormatting sqref="J113">
    <cfRule type="iconSet" priority="35">
      <iconSet iconSet="3Flags">
        <cfvo type="percent" val="0"/>
        <cfvo type="num" val="0"/>
        <cfvo type="num" val="1"/>
      </iconSet>
    </cfRule>
  </conditionalFormatting>
  <conditionalFormatting sqref="J114">
    <cfRule type="iconSet" priority="34">
      <iconSet iconSet="3Flags">
        <cfvo type="percent" val="0"/>
        <cfvo type="num" val="0"/>
        <cfvo type="num" val="1"/>
      </iconSet>
    </cfRule>
  </conditionalFormatting>
  <conditionalFormatting sqref="J116">
    <cfRule type="iconSet" priority="33">
      <iconSet iconSet="3Flags">
        <cfvo type="percent" val="0"/>
        <cfvo type="num" val="0"/>
        <cfvo type="num" val="1"/>
      </iconSet>
    </cfRule>
  </conditionalFormatting>
  <conditionalFormatting sqref="J117">
    <cfRule type="iconSet" priority="32">
      <iconSet iconSet="3Flags">
        <cfvo type="percent" val="0"/>
        <cfvo type="num" val="0"/>
        <cfvo type="num" val="1"/>
      </iconSet>
    </cfRule>
  </conditionalFormatting>
  <conditionalFormatting sqref="J118">
    <cfRule type="iconSet" priority="31">
      <iconSet iconSet="3Flags">
        <cfvo type="percent" val="0"/>
        <cfvo type="num" val="0"/>
        <cfvo type="num" val="1"/>
      </iconSet>
    </cfRule>
  </conditionalFormatting>
  <conditionalFormatting sqref="J119">
    <cfRule type="iconSet" priority="30">
      <iconSet iconSet="3Flags">
        <cfvo type="percent" val="0"/>
        <cfvo type="num" val="0"/>
        <cfvo type="num" val="1"/>
      </iconSet>
    </cfRule>
  </conditionalFormatting>
  <conditionalFormatting sqref="J120">
    <cfRule type="iconSet" priority="29">
      <iconSet iconSet="3Flags">
        <cfvo type="percent" val="0"/>
        <cfvo type="num" val="0"/>
        <cfvo type="num" val="1"/>
      </iconSet>
    </cfRule>
  </conditionalFormatting>
  <conditionalFormatting sqref="J121">
    <cfRule type="iconSet" priority="28">
      <iconSet iconSet="3Flags">
        <cfvo type="percent" val="0"/>
        <cfvo type="num" val="0"/>
        <cfvo type="num" val="1"/>
      </iconSet>
    </cfRule>
  </conditionalFormatting>
  <conditionalFormatting sqref="J122">
    <cfRule type="iconSet" priority="27">
      <iconSet iconSet="3Flags">
        <cfvo type="percent" val="0"/>
        <cfvo type="num" val="0"/>
        <cfvo type="num" val="1"/>
      </iconSet>
    </cfRule>
  </conditionalFormatting>
  <conditionalFormatting sqref="J123">
    <cfRule type="iconSet" priority="26">
      <iconSet iconSet="3Flags">
        <cfvo type="percent" val="0"/>
        <cfvo type="num" val="0"/>
        <cfvo type="num" val="1"/>
      </iconSet>
    </cfRule>
  </conditionalFormatting>
  <conditionalFormatting sqref="J124">
    <cfRule type="iconSet" priority="25">
      <iconSet iconSet="3Flags">
        <cfvo type="percent" val="0"/>
        <cfvo type="num" val="0"/>
        <cfvo type="num" val="1"/>
      </iconSet>
    </cfRule>
  </conditionalFormatting>
  <conditionalFormatting sqref="J125">
    <cfRule type="iconSet" priority="24">
      <iconSet iconSet="3Flags">
        <cfvo type="percent" val="0"/>
        <cfvo type="num" val="0"/>
        <cfvo type="num" val="1"/>
      </iconSet>
    </cfRule>
  </conditionalFormatting>
  <conditionalFormatting sqref="J126">
    <cfRule type="iconSet" priority="23">
      <iconSet iconSet="3Flags">
        <cfvo type="percent" val="0"/>
        <cfvo type="num" val="0"/>
        <cfvo type="num" val="1"/>
      </iconSet>
    </cfRule>
  </conditionalFormatting>
  <conditionalFormatting sqref="J127">
    <cfRule type="iconSet" priority="22">
      <iconSet iconSet="3Flags">
        <cfvo type="percent" val="0"/>
        <cfvo type="num" val="0"/>
        <cfvo type="num" val="1"/>
      </iconSet>
    </cfRule>
  </conditionalFormatting>
  <conditionalFormatting sqref="J128">
    <cfRule type="iconSet" priority="21">
      <iconSet iconSet="3Flags">
        <cfvo type="percent" val="0"/>
        <cfvo type="num" val="0"/>
        <cfvo type="num" val="1"/>
      </iconSet>
    </cfRule>
  </conditionalFormatting>
  <conditionalFormatting sqref="J129">
    <cfRule type="iconSet" priority="20">
      <iconSet iconSet="3Flags">
        <cfvo type="percent" val="0"/>
        <cfvo type="num" val="0"/>
        <cfvo type="num" val="1"/>
      </iconSet>
    </cfRule>
  </conditionalFormatting>
  <conditionalFormatting sqref="J130">
    <cfRule type="iconSet" priority="19">
      <iconSet iconSet="3Flags">
        <cfvo type="percent" val="0"/>
        <cfvo type="num" val="0"/>
        <cfvo type="num" val="1"/>
      </iconSet>
    </cfRule>
  </conditionalFormatting>
  <conditionalFormatting sqref="J131">
    <cfRule type="iconSet" priority="18">
      <iconSet iconSet="3Flags">
        <cfvo type="percent" val="0"/>
        <cfvo type="num" val="0"/>
        <cfvo type="num" val="1"/>
      </iconSet>
    </cfRule>
  </conditionalFormatting>
  <conditionalFormatting sqref="J132">
    <cfRule type="iconSet" priority="17">
      <iconSet iconSet="3Flags">
        <cfvo type="percent" val="0"/>
        <cfvo type="num" val="0"/>
        <cfvo type="num" val="1"/>
      </iconSet>
    </cfRule>
  </conditionalFormatting>
  <conditionalFormatting sqref="J133">
    <cfRule type="iconSet" priority="16">
      <iconSet iconSet="3Flags">
        <cfvo type="percent" val="0"/>
        <cfvo type="num" val="0"/>
        <cfvo type="num" val="1"/>
      </iconSet>
    </cfRule>
  </conditionalFormatting>
  <conditionalFormatting sqref="J134">
    <cfRule type="iconSet" priority="15">
      <iconSet iconSet="3Flags">
        <cfvo type="percent" val="0"/>
        <cfvo type="num" val="0"/>
        <cfvo type="num" val="1"/>
      </iconSet>
    </cfRule>
  </conditionalFormatting>
  <conditionalFormatting sqref="J135">
    <cfRule type="iconSet" priority="14">
      <iconSet iconSet="3Flags">
        <cfvo type="percent" val="0"/>
        <cfvo type="num" val="0"/>
        <cfvo type="num" val="1"/>
      </iconSet>
    </cfRule>
  </conditionalFormatting>
  <conditionalFormatting sqref="J136">
    <cfRule type="iconSet" priority="13">
      <iconSet iconSet="3Flags">
        <cfvo type="percent" val="0"/>
        <cfvo type="num" val="0"/>
        <cfvo type="num" val="1"/>
      </iconSet>
    </cfRule>
  </conditionalFormatting>
  <conditionalFormatting sqref="J137">
    <cfRule type="iconSet" priority="12">
      <iconSet iconSet="3Flags">
        <cfvo type="percent" val="0"/>
        <cfvo type="num" val="0"/>
        <cfvo type="num" val="1"/>
      </iconSet>
    </cfRule>
  </conditionalFormatting>
  <conditionalFormatting sqref="J138">
    <cfRule type="iconSet" priority="11">
      <iconSet iconSet="3Flags">
        <cfvo type="percent" val="0"/>
        <cfvo type="num" val="0"/>
        <cfvo type="num" val="1"/>
      </iconSet>
    </cfRule>
  </conditionalFormatting>
  <conditionalFormatting sqref="J139">
    <cfRule type="iconSet" priority="10">
      <iconSet iconSet="3Flags">
        <cfvo type="percent" val="0"/>
        <cfvo type="num" val="0"/>
        <cfvo type="num" val="1"/>
      </iconSet>
    </cfRule>
  </conditionalFormatting>
  <conditionalFormatting sqref="J140">
    <cfRule type="iconSet" priority="9">
      <iconSet iconSet="3Flags">
        <cfvo type="percent" val="0"/>
        <cfvo type="num" val="0"/>
        <cfvo type="num" val="1"/>
      </iconSet>
    </cfRule>
  </conditionalFormatting>
  <conditionalFormatting sqref="J141">
    <cfRule type="iconSet" priority="8">
      <iconSet iconSet="3Flags">
        <cfvo type="percent" val="0"/>
        <cfvo type="num" val="0"/>
        <cfvo type="num" val="1"/>
      </iconSet>
    </cfRule>
  </conditionalFormatting>
  <conditionalFormatting sqref="J142">
    <cfRule type="iconSet" priority="7">
      <iconSet iconSet="3Flags">
        <cfvo type="percent" val="0"/>
        <cfvo type="num" val="0"/>
        <cfvo type="num" val="1"/>
      </iconSet>
    </cfRule>
  </conditionalFormatting>
  <conditionalFormatting sqref="J143">
    <cfRule type="iconSet" priority="6">
      <iconSet iconSet="3Flags">
        <cfvo type="percent" val="0"/>
        <cfvo type="num" val="0"/>
        <cfvo type="num" val="1"/>
      </iconSet>
    </cfRule>
  </conditionalFormatting>
  <conditionalFormatting sqref="J144">
    <cfRule type="iconSet" priority="5">
      <iconSet iconSet="3Flags">
        <cfvo type="percent" val="0"/>
        <cfvo type="num" val="0"/>
        <cfvo type="num" val="1"/>
      </iconSet>
    </cfRule>
  </conditionalFormatting>
  <conditionalFormatting sqref="J145">
    <cfRule type="iconSet" priority="4">
      <iconSet iconSet="3Flags">
        <cfvo type="percent" val="0"/>
        <cfvo type="num" val="0"/>
        <cfvo type="num" val="1"/>
      </iconSet>
    </cfRule>
  </conditionalFormatting>
  <conditionalFormatting sqref="J146">
    <cfRule type="iconSet" priority="3">
      <iconSet iconSet="3Flags">
        <cfvo type="percent" val="0"/>
        <cfvo type="num" val="0"/>
        <cfvo type="num" val="1"/>
      </iconSet>
    </cfRule>
  </conditionalFormatting>
  <conditionalFormatting sqref="J147">
    <cfRule type="iconSet" priority="2">
      <iconSet iconSet="3Flags">
        <cfvo type="percent" val="0"/>
        <cfvo type="num" val="0"/>
        <cfvo type="num" val="1"/>
      </iconSet>
    </cfRule>
  </conditionalFormatting>
  <conditionalFormatting sqref="J148">
    <cfRule type="iconSet" priority="1">
      <iconSet iconSet="3Flags">
        <cfvo type="percent" val="0"/>
        <cfvo type="num" val="0"/>
        <cfvo type="num" val="1"/>
      </iconSet>
    </cfRule>
  </conditionalFormatting>
  <dataValidations count="3">
    <dataValidation type="list" allowBlank="1" showErrorMessage="1" sqref="F2:F148" xr:uid="{EF8DFC39-B291-4652-B895-D8160F6C092A}">
      <formula1>$AP$10:$AP$13</formula1>
    </dataValidation>
    <dataValidation type="list" allowBlank="1" showErrorMessage="1" sqref="E2:E148" xr:uid="{F8256FBE-10E7-4DDD-97BB-E9FD94C1041E}">
      <formula1>$AN$10:$AN$15</formula1>
    </dataValidation>
    <dataValidation type="list" allowBlank="1" showErrorMessage="1" sqref="D19:D24 D80:D82 D88 D94 D111" xr:uid="{CF17E141-A781-41F5-9FFD-3F2632926E8C}">
      <formula1>$AO$10:$AO$20</formula1>
    </dataValidation>
  </dataValidations>
  <hyperlinks>
    <hyperlink ref="A37" r:id="rId1" xr:uid="{78034440-6A1F-4EA8-90BD-EFD7AA83CB11}"/>
    <hyperlink ref="A3" r:id="rId2" xr:uid="{324BB350-B935-483E-B7E4-98469579C2CB}"/>
    <hyperlink ref="A4" r:id="rId3" xr:uid="{23DDCE11-7BF6-4833-BC7C-8435D1CE00B3}"/>
    <hyperlink ref="A5" r:id="rId4" xr:uid="{87BC0CDD-1220-4EC7-A8DD-5D0858E000EF}"/>
    <hyperlink ref="A16" r:id="rId5" xr:uid="{CDFB5D06-77A6-4917-B380-A33C3A685BE2}"/>
    <hyperlink ref="A8" r:id="rId6" xr:uid="{5EA16F67-9327-4FB5-BBFC-1ECB771E48E1}"/>
    <hyperlink ref="A30" r:id="rId7" xr:uid="{4CC26686-F7CF-4CA2-AA14-F5140033554D}"/>
    <hyperlink ref="A38" r:id="rId8" xr:uid="{19C03BE3-0F6F-41C4-B61F-E59B3AA0BEB0}"/>
    <hyperlink ref="A18" r:id="rId9" xr:uid="{F795AF80-0EEB-4DB0-B6A5-7FD0202CC6B9}"/>
    <hyperlink ref="A6" r:id="rId10" xr:uid="{08AE2BC3-832C-4108-A7FA-486E7B311240}"/>
    <hyperlink ref="A36" r:id="rId11" xr:uid="{31CDF3AF-5210-4768-B076-2132969BCA48}"/>
    <hyperlink ref="A13" r:id="rId12" xr:uid="{6E6E7FF9-3C69-405D-9500-979B464653FB}"/>
    <hyperlink ref="A31" r:id="rId13" xr:uid="{B569F0EE-C4DC-4908-9787-725004110A8A}"/>
    <hyperlink ref="A32" r:id="rId14" xr:uid="{7B0F4D8D-F8E8-4D72-8E7E-E9E71CDEB15F}"/>
    <hyperlink ref="A12" r:id="rId15" xr:uid="{B57E0E2D-9A5A-4147-8D59-A83D12DF0629}"/>
    <hyperlink ref="A20" r:id="rId16" xr:uid="{614DA60D-0EDC-4EDA-8CCE-14932C29A6CE}"/>
    <hyperlink ref="A14" r:id="rId17" xr:uid="{1D2C2C9C-AE67-4E91-8D84-487C1531C819}"/>
    <hyperlink ref="A19" r:id="rId18" xr:uid="{32AEC124-6DE9-4C24-9D58-AF204F846650}"/>
    <hyperlink ref="A21" r:id="rId19" xr:uid="{F7620859-EFD5-4AA3-8304-746480A23D9B}"/>
    <hyperlink ref="A2" r:id="rId20" xr:uid="{3EA1DD11-4A5D-4FD9-8769-9E4BA8644DB0}"/>
    <hyperlink ref="A22" r:id="rId21" xr:uid="{B6C6CD87-89F9-438F-BF94-637AD9A102BA}"/>
    <hyperlink ref="A23" r:id="rId22" xr:uid="{B9A8B295-765E-4EDA-B3CE-F3DD7A0A43A1}"/>
    <hyperlink ref="A39" r:id="rId23" xr:uid="{C70F1C97-E9FA-4FA8-A35D-28D13A25BAA0}"/>
    <hyperlink ref="A25" r:id="rId24" xr:uid="{F0CABAE5-9358-4A5E-8775-C2D53A0C4F86}"/>
    <hyperlink ref="A26" r:id="rId25" xr:uid="{4FB37469-7AAD-423A-BEBA-03387AABE0A1}"/>
    <hyperlink ref="A27" r:id="rId26" xr:uid="{17B18782-1168-4412-9C84-810E85F8B882}"/>
    <hyperlink ref="A15" r:id="rId27" xr:uid="{D11471CD-DCC0-41E0-AF0A-36F2FCAEB350}"/>
    <hyperlink ref="A29" r:id="rId28" xr:uid="{1E9C10D0-F0D8-40AB-82B7-00E8D996B6AA}"/>
    <hyperlink ref="A7" r:id="rId29" xr:uid="{FE4EBDD2-A0BF-4E37-8874-E249B2B9A561}"/>
    <hyperlink ref="A10" r:id="rId30" xr:uid="{C864545F-3870-4202-9020-26D6D8FD6468}"/>
    <hyperlink ref="A40" r:id="rId31" xr:uid="{2DEC9A69-B9B7-4259-A940-B295D132C758}"/>
    <hyperlink ref="A33" r:id="rId32" xr:uid="{B6A8950F-1924-426F-831D-DE0853FBACFE}"/>
    <hyperlink ref="A35" r:id="rId33" xr:uid="{7BB4381C-AE6F-452E-B35A-AEB1DE2C3436}"/>
    <hyperlink ref="A34" r:id="rId34" xr:uid="{5E7A52B7-6244-458B-9155-791194382C29}"/>
    <hyperlink ref="A11" r:id="rId35" xr:uid="{65ADF3F1-24C5-486A-890D-E49A05173913}"/>
    <hyperlink ref="A9" r:id="rId36" xr:uid="{F9D9A10E-AD8B-4C74-8A61-944415A624D7}"/>
    <hyperlink ref="A24" r:id="rId37" xr:uid="{9C2B7664-EE3B-41D0-9BC2-6A19D943848A}"/>
    <hyperlink ref="A28" r:id="rId38" xr:uid="{E331A8F8-2A3F-49AD-94A0-4163A86E9095}"/>
    <hyperlink ref="A17" r:id="rId39" xr:uid="{76B4EAE6-2AFA-44AA-A9C7-905BCDE5C271}"/>
    <hyperlink ref="A41" r:id="rId40" xr:uid="{287A3C95-FFB0-480A-A093-153E59C6D52C}"/>
    <hyperlink ref="A42" r:id="rId41" xr:uid="{5EFFF172-6F2D-4ECD-B198-7439BBC61BB2}"/>
    <hyperlink ref="A43" r:id="rId42" xr:uid="{3DD82F48-BBF1-4D29-BE3E-E3C3263DF03B}"/>
    <hyperlink ref="A44" r:id="rId43" xr:uid="{AD6DD473-AEDC-484E-A17B-F185F5109CB5}"/>
    <hyperlink ref="A45" r:id="rId44" xr:uid="{97C154E0-5DBA-4FF7-9B35-6F5CBFCE3C9A}"/>
    <hyperlink ref="A46" r:id="rId45" xr:uid="{18794E5B-B56C-4B5D-8C96-75921CD1E792}"/>
    <hyperlink ref="A47" r:id="rId46" xr:uid="{404A51ED-2056-4E36-AF45-CD57BB011A82}"/>
    <hyperlink ref="A48" r:id="rId47" xr:uid="{84CA011E-68ED-48E2-8319-43FDE8C46270}"/>
    <hyperlink ref="A49" r:id="rId48" xr:uid="{CB9D92EE-8916-40B5-9DC1-12B46596557A}"/>
    <hyperlink ref="A50" r:id="rId49" xr:uid="{EA3EECDD-6EFC-4732-9181-8B176969F17D}"/>
    <hyperlink ref="A51" r:id="rId50" xr:uid="{0D403F47-773C-4230-9E35-8D04EDFA0E37}"/>
    <hyperlink ref="A52" r:id="rId51" xr:uid="{16338D69-6834-4D98-BDAB-8EAF321056D8}"/>
    <hyperlink ref="A53" r:id="rId52" xr:uid="{F988C56E-9FED-4823-ACAF-DEAAF0EB10E8}"/>
    <hyperlink ref="A54" r:id="rId53" xr:uid="{FB7018C2-1AD5-473B-9BC0-B62294BE5543}"/>
    <hyperlink ref="A55" r:id="rId54" xr:uid="{D89767AF-D436-4E79-9591-C1B38B4F128B}"/>
    <hyperlink ref="A56" r:id="rId55" xr:uid="{E7F1366E-46B0-422C-A7F5-3CD7D65E5164}"/>
    <hyperlink ref="A57" r:id="rId56" xr:uid="{E76F1A25-E8D6-4109-BFB7-447441309718}"/>
    <hyperlink ref="A58" r:id="rId57" xr:uid="{AE728C8D-9796-4393-B153-DB223783935F}"/>
    <hyperlink ref="A59" r:id="rId58" xr:uid="{24617DBB-7615-47BE-BDB3-7F0DD538A9C9}"/>
    <hyperlink ref="A60" r:id="rId59" xr:uid="{BD510C89-451E-43DA-80A1-4D0BF8E8DF9E}"/>
    <hyperlink ref="A61" r:id="rId60" xr:uid="{6AC091F1-9E09-4DF2-9F22-ADFA97DDB331}"/>
    <hyperlink ref="A62" r:id="rId61" xr:uid="{3A307A30-13A9-4990-A5F2-31DCE0415DFF}"/>
    <hyperlink ref="A63" r:id="rId62" xr:uid="{E4FE1F3A-B58A-4FDE-86E2-151E809A4F2E}"/>
    <hyperlink ref="A64" r:id="rId63" xr:uid="{233441DA-5681-4236-9D22-DD6009D3B2E0}"/>
    <hyperlink ref="A65" r:id="rId64" xr:uid="{18369063-7A82-4BAA-9B0E-5ACD4D93170E}"/>
    <hyperlink ref="A66" r:id="rId65" xr:uid="{AA3F2FA4-6F2F-4013-96DF-47B6AED4EDAB}"/>
    <hyperlink ref="A67" r:id="rId66" xr:uid="{0C9D08E5-A808-4F04-B1D7-20EA400128D0}"/>
    <hyperlink ref="A68" r:id="rId67" xr:uid="{2C4BD6A1-0902-41D0-8DE7-4EE75B343574}"/>
    <hyperlink ref="A69" r:id="rId68" xr:uid="{E2891FBF-990E-47CB-B5EE-DBFDF728DA7F}"/>
    <hyperlink ref="A70" r:id="rId69" xr:uid="{C1A1BA2E-8F35-4D9C-A3A7-29AB8A986B42}"/>
    <hyperlink ref="A71" r:id="rId70" xr:uid="{A517C2DA-6C12-4BB0-9796-85DFFC9C5467}"/>
    <hyperlink ref="A72" r:id="rId71" xr:uid="{404E9C59-EA06-42B9-90EA-CDA5599ADA5B}"/>
    <hyperlink ref="A73" r:id="rId72" xr:uid="{F7D0F732-76E9-4BC3-984A-6EC8A55D020E}"/>
    <hyperlink ref="A74" r:id="rId73" xr:uid="{35987EEE-8367-4FAF-9BFA-2E85273CDB92}"/>
    <hyperlink ref="A77" r:id="rId74" xr:uid="{CA4BEB83-CC7F-4425-9130-0441F98DD2AC}"/>
    <hyperlink ref="A78" r:id="rId75" xr:uid="{96E89F65-9698-4DFC-9179-B26736D341E5}"/>
    <hyperlink ref="A79" r:id="rId76" xr:uid="{916CADB8-DDE0-4767-8C0F-CC86482E9A8F}"/>
    <hyperlink ref="A80" r:id="rId77" xr:uid="{0A474AC4-C6EB-4519-8C5F-BE3B21A06B23}"/>
    <hyperlink ref="A81" r:id="rId78" xr:uid="{7CC865D9-01DA-41EF-BD4D-B75F6E8B1C95}"/>
    <hyperlink ref="A82" r:id="rId79" xr:uid="{A3B2E2AB-2A89-4688-9AE8-21ECC6CB3B24}"/>
    <hyperlink ref="A83" r:id="rId80" xr:uid="{557BED8C-DA9F-4E91-A278-D8C0F43FE097}"/>
    <hyperlink ref="A84" r:id="rId81" xr:uid="{2A79E599-1D64-4666-A44F-DB3F8A1B1718}"/>
    <hyperlink ref="A85" r:id="rId82" xr:uid="{1DF9011A-7451-4182-80AC-D54CC650F3E5}"/>
    <hyperlink ref="A86" r:id="rId83" xr:uid="{3B35D3E1-B00A-4C75-917A-816B2069E4AF}"/>
    <hyperlink ref="A87" r:id="rId84" xr:uid="{C02867CA-B529-4FA8-B03C-6B9F1E65B316}"/>
    <hyperlink ref="A88" r:id="rId85" xr:uid="{CD6FEE22-AC67-411C-A15D-E5B32AD39981}"/>
    <hyperlink ref="A89" r:id="rId86" xr:uid="{C7C6A520-5047-40DB-BDBD-D9A789B5148F}"/>
    <hyperlink ref="A90" r:id="rId87" xr:uid="{84220185-0A9A-49E9-B66C-48A211BAA924}"/>
    <hyperlink ref="A91" r:id="rId88" xr:uid="{7B6FAFDC-2247-4189-9FCB-B2D44A6AC0A1}"/>
    <hyperlink ref="A92" r:id="rId89" xr:uid="{A8755C8F-560D-4198-951A-B7935ACA3FC2}"/>
    <hyperlink ref="A93" r:id="rId90" xr:uid="{8E04646C-9CED-45BA-AAB4-9A835CD1154B}"/>
    <hyperlink ref="A94" r:id="rId91" xr:uid="{07496980-A43B-4341-B2CB-2D1951FD9640}"/>
    <hyperlink ref="A95" r:id="rId92" xr:uid="{FD582C8B-3307-4708-8483-A4982A410208}"/>
    <hyperlink ref="A96" r:id="rId93" xr:uid="{A1BC3AD2-7B12-43AD-A373-E9C748F1FBFC}"/>
    <hyperlink ref="A97" r:id="rId94" xr:uid="{A9824F24-C00B-4335-ADA4-F4D8D0EA140C}"/>
    <hyperlink ref="A98" r:id="rId95" xr:uid="{9A674A75-4C5E-498A-BD9D-2C6EAEADF69F}"/>
    <hyperlink ref="A99" r:id="rId96" xr:uid="{A50FD59C-C808-4087-A95B-478FA72A722F}"/>
    <hyperlink ref="A100" r:id="rId97" xr:uid="{4696C386-2570-44E4-8C21-B7CEAD660619}"/>
    <hyperlink ref="A101" r:id="rId98" xr:uid="{04DBAA09-802B-4279-AF87-8E1657B34739}"/>
    <hyperlink ref="A102" r:id="rId99" xr:uid="{C4F39997-8947-43B9-87C3-51E52DF2F1C3}"/>
    <hyperlink ref="A103" r:id="rId100" xr:uid="{C6D47148-23C8-41BF-A20B-11ECAA13F8B0}"/>
    <hyperlink ref="A104" r:id="rId101" xr:uid="{6BCC2FC6-571D-4C69-8BFF-988C2E5292F9}"/>
    <hyperlink ref="A105" r:id="rId102" xr:uid="{F7F425A0-BC4F-4DFD-95B0-CDA2498E8D1C}"/>
    <hyperlink ref="A106" r:id="rId103" xr:uid="{A408EEE0-A275-426B-8217-CF7112D807B1}"/>
    <hyperlink ref="A107" r:id="rId104" xr:uid="{1840650F-95B0-4F14-8E56-555D5DF2FC17}"/>
    <hyperlink ref="A108" r:id="rId105" xr:uid="{C98D64F9-9FE9-428A-9890-2BC9B664A7F6}"/>
    <hyperlink ref="A109" r:id="rId106" xr:uid="{C7C7B09B-61BE-472D-AAC2-FE5EDB40C88D}"/>
    <hyperlink ref="A110" r:id="rId107" xr:uid="{ADB4D678-93F9-4E43-9FA5-8790DA85AA55}"/>
    <hyperlink ref="A111" r:id="rId108" xr:uid="{DEDB89C0-0980-40C7-8A6C-CFED069E5161}"/>
    <hyperlink ref="A112" r:id="rId109" xr:uid="{17BE403E-97F7-46A6-BBE9-1E951F223406}"/>
    <hyperlink ref="A114" r:id="rId110" xr:uid="{0A58D643-81D4-49BB-B2A8-EE87685FFE06}"/>
    <hyperlink ref="A116" r:id="rId111" xr:uid="{44D83701-3439-4A30-879D-C49EBC6E09B7}"/>
    <hyperlink ref="A117" r:id="rId112" xr:uid="{2421007F-EE26-4CF6-8D71-0335DFA6E334}"/>
    <hyperlink ref="A118" r:id="rId113" xr:uid="{1A256052-A01F-4522-9AF0-AA4E4145CE6D}"/>
    <hyperlink ref="A119" r:id="rId114" xr:uid="{F4AC52CE-3EC4-4EE8-A788-8680DE4992E0}"/>
    <hyperlink ref="A120" r:id="rId115" xr:uid="{BA5FE10F-8B2B-40CE-8E3E-C23F6B3132CE}"/>
    <hyperlink ref="A121" r:id="rId116" xr:uid="{7509F8AB-F5F0-4799-BDC8-5B1821B740A5}"/>
    <hyperlink ref="A122" r:id="rId117" xr:uid="{ABB408F1-537E-4DA1-AF3B-4F5627ADD10A}"/>
    <hyperlink ref="A123" r:id="rId118" xr:uid="{9AEFF271-9331-49EF-B432-D6FEB641DD4F}"/>
    <hyperlink ref="A124" r:id="rId119" xr:uid="{B926E265-9F56-4832-AC85-B81DC1555419}"/>
    <hyperlink ref="A125" r:id="rId120" xr:uid="{96757CB1-630E-4DCD-9B87-6FF3A50FBBE3}"/>
    <hyperlink ref="A126" r:id="rId121" xr:uid="{71DCC903-587B-4DE7-8E15-233BF92677BC}"/>
    <hyperlink ref="A127" r:id="rId122" xr:uid="{43153890-453E-40CB-8041-5303E1CCF164}"/>
    <hyperlink ref="A128" r:id="rId123" xr:uid="{C4040124-6E7E-4D90-891D-870BFDF01D3E}"/>
    <hyperlink ref="A129" r:id="rId124" xr:uid="{D6322D50-F54D-4D34-9386-097C9E381021}"/>
    <hyperlink ref="A130" r:id="rId125" xr:uid="{0E0AB25C-FE6E-4FFC-A163-B90F285F1315}"/>
    <hyperlink ref="A131" r:id="rId126" xr:uid="{93350425-3402-4AD6-AD9F-B770B9D5B026}"/>
    <hyperlink ref="A132" r:id="rId127" xr:uid="{5E112660-DAC2-412E-97D0-965588D90EB8}"/>
    <hyperlink ref="A133" r:id="rId128" xr:uid="{A7FCE266-0948-4026-95E6-70D18004A9FE}"/>
    <hyperlink ref="A134" r:id="rId129" xr:uid="{EE841120-CF74-4EB6-A256-9B61AFAD06F8}"/>
    <hyperlink ref="A135" r:id="rId130" xr:uid="{9576B108-54D5-4B2E-B5A8-5EBEA8930929}"/>
    <hyperlink ref="A136" r:id="rId131" xr:uid="{300494C9-5A10-41B7-8CFD-B1B210711D6C}"/>
    <hyperlink ref="A137" r:id="rId132" xr:uid="{2B50547C-1ABB-4EDD-9F21-5BC0563BF0ED}"/>
    <hyperlink ref="A138" r:id="rId133" xr:uid="{4B341C2F-C289-4A7C-9D0A-8EEBD96E7D2D}"/>
    <hyperlink ref="A139" r:id="rId134" xr:uid="{C3A0E3A3-8A9E-4A41-9137-DACF5303ADE0}"/>
    <hyperlink ref="A140" r:id="rId135" xr:uid="{7B8CCA55-2718-47B7-9B04-423C15D09C9D}"/>
    <hyperlink ref="A141" r:id="rId136" xr:uid="{3CF2F9E1-7A5B-4703-9291-7CF3C085828C}"/>
    <hyperlink ref="A142" r:id="rId137" xr:uid="{439E3B2B-55EC-480D-B695-D82F0464B15F}"/>
    <hyperlink ref="A143" r:id="rId138" xr:uid="{E3C98757-0430-4BF8-BEB5-C868BFC51078}"/>
    <hyperlink ref="A144" r:id="rId139" xr:uid="{2F78699E-4814-4801-A56B-B8057C3FDA70}"/>
    <hyperlink ref="A145" r:id="rId140" xr:uid="{99B5991F-CED6-4634-8528-C589B002A54B}"/>
    <hyperlink ref="A146" r:id="rId141" xr:uid="{C1FBFAFB-CAD5-4FF6-846A-614ECB01EFB7}"/>
    <hyperlink ref="A147" r:id="rId142" display="CTB-14" xr:uid="{7AC9B1AB-6BA0-4829-945D-EC7B3CBB04B6}"/>
    <hyperlink ref="A148" r:id="rId143" display="CTB-212" xr:uid="{2992EA17-661E-4C97-B0DE-C1CCB3950DE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Ginson Orellan</dc:creator>
  <cp:lastModifiedBy>Ginson Orellan</cp:lastModifiedBy>
  <dcterms:created xsi:type="dcterms:W3CDTF">2021-02-22T22:06:53Z</dcterms:created>
  <dcterms:modified xsi:type="dcterms:W3CDTF">2021-02-23T17:19:37Z</dcterms:modified>
</cp:coreProperties>
</file>